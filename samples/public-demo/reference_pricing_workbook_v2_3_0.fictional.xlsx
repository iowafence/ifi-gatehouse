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Meta" sheetId="2" state="visible" r:id="rId2"/>
    <sheet name="Takeoff_In" sheetId="3" state="visible" r:id="rId3"/>
    <sheet name="Materials" sheetId="4" state="visible" r:id="rId4"/>
    <sheet name="Roles" sheetId="5" state="visible" r:id="rId5"/>
    <sheet name="Crews" sheetId="6" state="visible" r:id="rId6"/>
    <sheet name="Labor" sheetId="7" state="visible" r:id="rId7"/>
    <sheet name="Crew_Production" sheetId="8" state="visible" r:id="rId8"/>
    <sheet name="Equipment" sheetId="9" state="visible" r:id="rId9"/>
    <sheet name="Mobilization_Other" sheetId="10" state="visible" r:id="rId10"/>
    <sheet name="Services" sheetId="11" state="visible" r:id="rId11"/>
    <sheet name="Summary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.00;\(#,##0.00\);\-"/>
    <numFmt numFmtId="165" formatCode="\$#,##0.00;&quot;($&quot;#,##0.00\);\-"/>
    <numFmt numFmtId="166" formatCode="yyyy\-mm\-dd"/>
    <numFmt numFmtId="167" formatCode="0.0%"/>
    <numFmt numFmtId="168" formatCode="\$#,##0;&quot;($&quot;#,##0\);\-"/>
    <numFmt numFmtId="169" formatCode="yyyy-mm-dd h:mm:ss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b val="1"/>
    </font>
    <font>
      <color rgb="FF1E7B34"/>
    </font>
  </fonts>
  <fills count="5">
    <fill>
      <patternFill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167" fontId="9" fillId="3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11" fillId="0" borderId="0" pivotButton="0" quotePrefix="0" xfId="0"/>
    <xf numFmtId="0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167" fontId="9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167" fontId="9" fillId="3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9" fontId="9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7" fontId="12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5" min="1" max="1"/>
    <col width="110" customWidth="1" style="25" min="2" max="2"/>
  </cols>
  <sheetData>
    <row r="1" ht="17.25" customHeight="1" s="26">
      <c r="A1" s="27" t="inlineStr">
        <is>
          <t>IFI Gatehouse: rate book (REFERENCE, FICTIONAL RATES) - layout v2, 2.2.0</t>
        </is>
      </c>
      <c r="B1" s="28" t="n"/>
    </row>
    <row r="2" ht="23.25" customHeight="1" s="26">
      <c r="A2" s="29" t="inlineStr">
        <is>
          <t>Purpose</t>
        </is>
      </c>
      <c r="B2" s="28" t="inlineStr">
        <is>
          <t>DEMO FIXTURE. Every rate and price here is a fictional reference estimate, not any company's real rates. Safe for the repo and demo. Real rates go in a separate private copy of the blank template.</t>
        </is>
      </c>
    </row>
    <row r="3" ht="23.25" customHeight="1" s="26">
      <c r="A3" s="29" t="inlineStr">
        <is>
          <t>Principle</t>
        </is>
      </c>
      <c r="B3" s="28" t="inlineStr">
        <is>
          <t>The model reads plans. Code calculates quantities. A person enters every dollar figure and every production rate. No dollar value is ever written by a model.</t>
        </is>
      </c>
    </row>
    <row r="4" ht="15" customHeight="1" s="26">
      <c r="A4" s="29" t="n"/>
      <c r="B4" s="28" t="n"/>
    </row>
    <row r="5" ht="23.25" customHeight="1" s="26">
      <c r="A5" s="29" t="inlineStr">
        <is>
          <t>How code fills it</t>
        </is>
      </c>
      <c r="B5" s="28" t="inlineStr">
        <is>
          <t>Quantities come only from the deterministic takeoff. A rate book handed to Gatehouse must leave Takeoff_In D:G EMPTY; an inspection export may fill them. Match rows by the key in column A.</t>
        </is>
      </c>
    </row>
    <row r="6" ht="23.25" customHeight="1" s="26">
      <c r="A6" s="29" t="inlineStr">
        <is>
          <t>Keys</t>
        </is>
      </c>
      <c r="B6" s="28" t="inlineStr">
        <is>
          <t>M01 to M40 and M42 to M44 = material item_id (M41 is retired); S01 = core-drilling service. D01 to D12 = labor drivers. Keys are permanent; never renumber or reuse one. Add new keys at the bottom of Takeoff_In and the same ID in Materials.</t>
        </is>
      </c>
    </row>
    <row r="7" ht="15" customHeight="1" s="26">
      <c r="A7" s="29" t="inlineStr">
        <is>
          <t>Layout rule</t>
        </is>
      </c>
      <c r="B7" s="28" t="inlineStr">
        <is>
          <t>Header is row 1 on every data sheet. No merged cells, no blank header cells. Read by header name, not by column letter.</t>
        </is>
      </c>
    </row>
    <row r="8" ht="23.25" customHeight="1" s="26">
      <c r="A8" s="29" t="inlineStr">
        <is>
          <t>Reference columns</t>
        </is>
      </c>
      <c r="B8" s="28" t="inlineStr">
        <is>
          <t>Layout v2 carries no quantities of any kind. Quantities come only from the deterministic takeoff.</t>
        </is>
      </c>
    </row>
    <row r="9" ht="15" customHeight="1" s="26">
      <c r="A9" s="29" t="n"/>
      <c r="B9" s="28" t="n"/>
    </row>
    <row r="10" ht="15" customHeight="1" s="26">
      <c r="A10" s="29" t="inlineStr">
        <is>
          <t>What you fill</t>
        </is>
      </c>
      <c r="B10" s="28" t="n"/>
    </row>
    <row r="11" ht="23.25" customHeight="1" s="26">
      <c r="A11" s="29" t="inlineStr">
        <is>
          <t>Materials</t>
        </is>
      </c>
      <c r="B11" s="28" t="inlineStr">
        <is>
          <t>unit_price, vendor, price_date, source_url_or_sku, overage_pct. Add or rename materials freely; keep item_id unique and matched to a Takeoff_In key.</t>
        </is>
      </c>
    </row>
    <row r="12" ht="15" customHeight="1" s="26">
      <c r="A12" s="29" t="inlineStr">
        <is>
          <t>Roles</t>
        </is>
      </c>
      <c r="B12" s="28" t="inlineStr">
        <is>
          <t>Base wage and burden per role. Loaded rate computes.</t>
        </is>
      </c>
    </row>
    <row r="13" ht="15" customHeight="1" s="26">
      <c r="A13" s="29" t="inlineStr">
        <is>
          <t>Crews</t>
        </is>
      </c>
      <c r="B13" s="28" t="inlineStr">
        <is>
          <t>Headcount per role. Loaded crew rate computes.</t>
        </is>
      </c>
    </row>
    <row r="14" ht="23.25" customHeight="1" s="26">
      <c r="A14" s="29" t="inlineStr">
        <is>
          <t>Labor</t>
        </is>
      </c>
      <c r="B14" s="28" t="inlineStr">
        <is>
          <t>For each task: crew_id and production_rate (units per crew-hour). Driver quantity pulls from Takeoff_In. Labor cost = quantity / rate x crew rate.</t>
        </is>
      </c>
    </row>
    <row r="15" ht="15" customHeight="1" s="26">
      <c r="A15" s="29" t="inlineStr">
        <is>
          <t>Equipment</t>
        </is>
      </c>
      <c r="B15" s="28" t="inlineStr">
        <is>
          <t>Owned or rented, rate and basis, days or units for base and alt, fuel, delivery.</t>
        </is>
      </c>
    </row>
    <row r="16" ht="15" customHeight="1" s="26">
      <c r="A16" s="29" t="inlineStr">
        <is>
          <t>Mobilization_Other</t>
        </is>
      </c>
      <c r="B16" s="28" t="inlineStr">
        <is>
          <t>Trips, mileage, per diem, locates, permits, bonds, subs, anything not material, labor or equipment.</t>
        </is>
      </c>
    </row>
    <row r="17" ht="15" customHeight="1" s="26">
      <c r="A17" s="29" t="inlineStr">
        <is>
          <t>Summary</t>
        </is>
      </c>
      <c r="B17" s="28" t="inlineStr">
        <is>
          <t>Enter tax, overhead, contingency and profit rates on the Meta sheet. Summary reads them. Checks below the price show what is still blank; a blank is #N/A, never zero.</t>
        </is>
      </c>
    </row>
    <row r="18" ht="15" customHeight="1" s="26">
      <c r="A18" s="29" t="n"/>
      <c r="B18" s="28" t="n"/>
    </row>
    <row r="19" ht="23.25" customHeight="1" s="26">
      <c r="A19" s="29" t="inlineStr">
        <is>
          <t>Colors</t>
        </is>
      </c>
      <c r="B19" s="28" t="inlineStr">
        <is>
          <t>Blue fill = code writes here. Yellow fill with blue text = you type here. Green text = pulled from another sheet. Black = formula. Grey italic = reference only.</t>
        </is>
      </c>
    </row>
    <row r="20" ht="15" customHeight="1" s="26">
      <c r="A20" s="29" t="inlineStr">
        <is>
          <t>Blue fill sample:</t>
        </is>
      </c>
      <c r="B20" s="30" t="inlineStr">
        <is>
          <t>Once filled, this workbook holds your real rates. Keep it out of the public repo, hosted APIs and Evolus Libraries.</t>
        </is>
      </c>
    </row>
    <row r="21" ht="15" customHeight="1" s="26">
      <c r="A21" s="29" t="inlineStr">
        <is>
          <t>Yellow fill sample:</t>
        </is>
      </c>
      <c r="B21" s="31" t="n"/>
    </row>
    <row r="22">
      <c r="A22" s="25" t="inlineStr">
        <is>
          <t>Meta</t>
        </is>
      </c>
      <c r="B22" s="25" t="inlineStr">
        <is>
          <t>ratebook_id, version, effective_date, alternate_id and the four markup rates. Bump version on any rate change.</t>
        </is>
      </c>
    </row>
    <row r="23" ht="34.5" customHeight="1" s="26">
      <c r="A23" s="29" t="inlineStr">
        <is>
          <t>Rate sources</t>
        </is>
      </c>
      <c r="B23" s="28" t="inlineStr">
        <is>
          <t>Every rate in this reference book is a fictional estimate for demonstration. No vendor quote, listing, place or published wage figure is behind 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style="26" min="1" max="1"/>
    <col width="20" customWidth="1" style="26" min="2" max="2"/>
    <col width="80" customWidth="1" style="26" min="3" max="3"/>
  </cols>
  <sheetData>
    <row r="1">
      <c r="A1" s="32" t="inlineStr">
        <is>
          <t>key</t>
        </is>
      </c>
      <c r="B1" s="32" t="inlineStr">
        <is>
          <t>value</t>
        </is>
      </c>
      <c r="C1" s="32" t="inlineStr">
        <is>
          <t>notes</t>
        </is>
      </c>
    </row>
    <row r="2">
      <c r="A2" s="25" t="inlineStr">
        <is>
          <t>ratebook_id</t>
        </is>
      </c>
      <c r="B2" s="41" t="inlineStr">
        <is>
          <t>IFI-REF-FICTIONAL</t>
        </is>
      </c>
      <c r="C2" s="25" t="inlineStr">
        <is>
          <t>Stable identifier for this company's rate book.</t>
        </is>
      </c>
    </row>
    <row r="3">
      <c r="A3" s="25" t="inlineStr">
        <is>
          <t>version</t>
        </is>
      </c>
      <c r="B3" s="41" t="inlineStr">
        <is>
          <t>2.3.0</t>
        </is>
      </c>
      <c r="C3" s="25" t="inlineStr">
        <is>
          <t>Semantic version. Bump on ANY rate change; approvals bind to it.</t>
        </is>
      </c>
    </row>
    <row r="4">
      <c r="A4" s="25" t="inlineStr">
        <is>
          <t>effective_date</t>
        </is>
      </c>
      <c r="B4" s="42" t="n">
        <v>46307</v>
      </c>
      <c r="C4" s="25" t="inlineStr">
        <is>
          <t>Date these rates take effect (ISO). Later than today = rejected.</t>
        </is>
      </c>
    </row>
    <row r="5">
      <c r="A5" s="25" t="inlineStr">
        <is>
          <t>currency</t>
        </is>
      </c>
      <c r="B5" s="41" t="inlineStr">
        <is>
          <t>USD</t>
        </is>
      </c>
      <c r="C5" s="25" t="inlineStr">
        <is>
          <t>Only USD is supported.</t>
        </is>
      </c>
    </row>
    <row r="6">
      <c r="A6" s="25" t="inlineStr">
        <is>
          <t>alternate_id</t>
        </is>
      </c>
      <c r="B6" s="41" t="inlineStr">
        <is>
          <t>ALT-A1</t>
        </is>
      </c>
      <c r="C6" s="25" t="inlineStr">
        <is>
          <t>Scope id that the *_alt columns price.</t>
        </is>
      </c>
    </row>
    <row r="7">
      <c r="A7" s="25" t="inlineStr">
        <is>
          <t>data_classification</t>
        </is>
      </c>
      <c r="B7" s="41" t="inlineStr">
        <is>
          <t>FICTIONAL_DEMO</t>
        </is>
      </c>
      <c r="C7" s="25" t="inlineStr">
        <is>
          <t>FICTIONAL_DEMO or COMPANY_PRIVATE. Private books never enter Git.</t>
        </is>
      </c>
    </row>
    <row r="8">
      <c r="A8" s="25" t="inlineStr">
        <is>
          <t>tax_materials_pct</t>
        </is>
      </c>
      <c r="B8" s="43" t="n">
        <v>0.07000000000000001</v>
      </c>
      <c r="C8" s="25" t="inlineStr">
        <is>
          <t>Sales tax on materials.</t>
        </is>
      </c>
    </row>
    <row r="9">
      <c r="A9" s="25" t="inlineStr">
        <is>
          <t>overhead_pct</t>
        </is>
      </c>
      <c r="B9" s="43" t="n">
        <v>0.1</v>
      </c>
      <c r="C9" s="25" t="inlineStr">
        <is>
          <t>Overhead on direct cost.</t>
        </is>
      </c>
    </row>
    <row r="10">
      <c r="A10" s="25" t="inlineStr">
        <is>
          <t>contingency_pct</t>
        </is>
      </c>
      <c r="B10" s="43" t="n">
        <v>0.05</v>
      </c>
      <c r="C10" s="25" t="inlineStr">
        <is>
          <t>Contingency on direct cost.</t>
        </is>
      </c>
    </row>
    <row r="11">
      <c r="A11" s="25" t="inlineStr">
        <is>
          <t>profit_pct</t>
        </is>
      </c>
      <c r="B11" s="43" t="n">
        <v>0.1</v>
      </c>
      <c r="C11" s="25" t="inlineStr">
        <is>
          <t>Profit on direct + overhead + contingency.</t>
        </is>
      </c>
    </row>
    <row r="12">
      <c r="A12" s="25" t="inlineStr">
        <is>
          <t>workday_hours</t>
        </is>
      </c>
      <c r="B12" s="43" t="n">
        <v>8</v>
      </c>
      <c r="C12" s="25" t="inlineStr">
        <is>
          <t>Productive hours in a crew workday: converts crew-hours to duration in days.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46" customWidth="1" style="25" min="2" max="2"/>
    <col width="9" customWidth="1" style="25" min="3" max="3"/>
    <col width="13" customWidth="1" style="25" min="4" max="5"/>
    <col width="30" customWidth="1" style="25" min="6" max="7"/>
    <col width="16" customWidth="1" style="25" min="8" max="9"/>
  </cols>
  <sheetData>
    <row r="1" ht="31.5" customHeight="1" s="26">
      <c r="A1" s="36" t="inlineStr">
        <is>
          <t>key</t>
        </is>
      </c>
      <c r="B1" s="36" t="inlineStr">
        <is>
          <t>description</t>
        </is>
      </c>
      <c r="C1" s="36" t="inlineStr">
        <is>
          <t>uom</t>
        </is>
      </c>
      <c r="D1" s="36" t="inlineStr">
        <is>
          <t>qty_base</t>
        </is>
      </c>
      <c r="E1" s="36" t="inlineStr">
        <is>
          <t>qty_alt</t>
        </is>
      </c>
      <c r="F1" s="36" t="inlineStr">
        <is>
          <t>source_ref</t>
        </is>
      </c>
      <c r="G1" s="36" t="inlineStr">
        <is>
          <t>notes</t>
        </is>
      </c>
    </row>
    <row r="2" ht="15" customHeight="1" s="26">
      <c r="A2" s="37" t="inlineStr">
        <is>
          <t>M01</t>
        </is>
      </c>
      <c r="B2" s="37" t="inlineStr">
        <is>
          <t>Post, Type A terminal / corner / gate | 2-7/8 in OD (2.875), hot-dip galvanized steel pipe. Wall / weight class not specified. Stock length per Takeoff.</t>
        </is>
      </c>
      <c r="C2" s="37" t="inlineStr">
        <is>
          <t>EA</t>
        </is>
      </c>
      <c r="D2" s="38" t="n"/>
      <c r="E2" s="38" t="n"/>
      <c r="F2" s="39" t="n"/>
      <c r="G2" s="39" t="n"/>
    </row>
    <row r="3" ht="15" customHeight="1" s="26">
      <c r="A3" s="37" t="inlineStr">
        <is>
          <t>M02</t>
        </is>
      </c>
      <c r="B3" s="37" t="inlineStr">
        <is>
          <t>Post, Type A line | 2-3/8 in OD (2.375), hot-dip galvanized steel pipe. Wall / weight class not specified. Stock length per Takeoff.</t>
        </is>
      </c>
      <c r="C3" s="37" t="inlineStr">
        <is>
          <t>EA</t>
        </is>
      </c>
      <c r="D3" s="38" t="n"/>
      <c r="E3" s="38" t="n"/>
      <c r="F3" s="39" t="n"/>
      <c r="G3" s="39" t="n"/>
    </row>
    <row r="4" ht="15" customHeight="1" s="26">
      <c r="A4" s="37" t="inlineStr">
        <is>
          <t>M03</t>
        </is>
      </c>
      <c r="B4" s="37" t="inlineStr">
        <is>
          <t>Post, Type B terminal | 2-3/8 in OD (2.375), hot-dip galvanized steel pipe, stock length per Takeoff (Type B).</t>
        </is>
      </c>
      <c r="C4" s="37" t="inlineStr">
        <is>
          <t>EA</t>
        </is>
      </c>
      <c r="D4" s="38" t="n"/>
      <c r="E4" s="38" t="n"/>
      <c r="F4" s="39" t="n"/>
      <c r="G4" s="39" t="n"/>
    </row>
    <row r="5" ht="15" customHeight="1" s="26">
      <c r="A5" s="37" t="inlineStr">
        <is>
          <t>M04</t>
        </is>
      </c>
      <c r="B5" s="37" t="inlineStr">
        <is>
          <t>Post, Type B line | 1-7/8 in OD (nominal 1.900), hot-dip galvanized steel pipe, stock length per Takeoff (Type B).</t>
        </is>
      </c>
      <c r="C5" s="37" t="inlineStr">
        <is>
          <t>EA</t>
        </is>
      </c>
      <c r="D5" s="38" t="n"/>
      <c r="E5" s="38" t="n"/>
      <c r="F5" s="39" t="n"/>
      <c r="G5" s="39" t="n"/>
    </row>
    <row r="6" ht="15" customHeight="1" s="26">
      <c r="A6" s="37" t="inlineStr">
        <is>
          <t>M05</t>
        </is>
      </c>
      <c r="B6" s="37" t="inlineStr">
        <is>
          <t>Top rail | 1-5/8 in OD (1.660), galvanized, swaged, continuous. Type A + Type B.</t>
        </is>
      </c>
      <c r="C6" s="37" t="inlineStr">
        <is>
          <t>LF</t>
        </is>
      </c>
      <c r="D6" s="38" t="n"/>
      <c r="E6" s="38" t="n"/>
      <c r="F6" s="39" t="n"/>
      <c r="G6" s="39" t="n"/>
    </row>
    <row r="7" ht="15" customHeight="1" s="26">
      <c r="A7" s="37" t="inlineStr">
        <is>
          <t>M06</t>
        </is>
      </c>
      <c r="B7" s="37" t="inlineStr">
        <is>
          <t>Mid rail / brace rail, Type A | 1-5/8 in OD (1.660), galvanized, at 5'-0". Continuous per F501 elevation; brace rail at terminals is the mid rail.</t>
        </is>
      </c>
      <c r="C7" s="37" t="inlineStr">
        <is>
          <t>LF</t>
        </is>
      </c>
      <c r="D7" s="38" t="n"/>
      <c r="E7" s="38" t="n"/>
      <c r="F7" s="39" t="n"/>
      <c r="G7" s="39" t="n"/>
    </row>
    <row r="8" ht="15" customHeight="1" s="26">
      <c r="A8" s="37" t="inlineStr">
        <is>
          <t>M07</t>
        </is>
      </c>
      <c r="B8" s="37" t="inlineStr">
        <is>
          <t>Rail sleeve / coupling | For 1-5/8 in OD rail (swaged-end or expansion sleeve).</t>
        </is>
      </c>
      <c r="C8" s="37" t="inlineStr">
        <is>
          <t>EA</t>
        </is>
      </c>
      <c r="D8" s="38" t="n"/>
      <c r="E8" s="38" t="n"/>
      <c r="F8" s="39" t="n"/>
      <c r="G8" s="39" t="n"/>
    </row>
    <row r="9" ht="15" customHeight="1" s="26">
      <c r="A9" s="37" t="inlineStr">
        <is>
          <t>M08</t>
        </is>
      </c>
      <c r="B9" s="37" t="inlineStr">
        <is>
          <t>Truss rod with turnbuckle, fence braces | 3/8 in dia, galvanized, adjustable, to span a 10 ft bay at 5 ft height (about 11 ft 2 in diagonal).</t>
        </is>
      </c>
      <c r="C9" s="37" t="inlineStr">
        <is>
          <t>EA</t>
        </is>
      </c>
      <c r="D9" s="38" t="n"/>
      <c r="E9" s="38" t="n"/>
      <c r="F9" s="39" t="n"/>
      <c r="G9" s="39" t="n"/>
    </row>
    <row r="10" ht="15" customHeight="1" s="26">
      <c r="A10" s="37" t="inlineStr">
        <is>
          <t>M09</t>
        </is>
      </c>
      <c r="B10" s="37" t="inlineStr">
        <is>
          <t>Brace band, terminal-side | For 2-7/8 in OD post and 1-5/8 in OD rail / 3/8 in truss rod.</t>
        </is>
      </c>
      <c r="C10" s="37" t="inlineStr">
        <is>
          <t>EA</t>
        </is>
      </c>
      <c r="D10" s="38" t="n"/>
      <c r="E10" s="38" t="n"/>
      <c r="F10" s="39" t="n"/>
      <c r="G10" s="39" t="n"/>
    </row>
    <row r="11" ht="15" customHeight="1" s="26">
      <c r="A11" s="37" t="inlineStr">
        <is>
          <t>M10</t>
        </is>
      </c>
      <c r="B11" s="37" t="inlineStr">
        <is>
          <t>Brace band, line-post side | For 2-3/8 in OD post and 1-5/8 in OD rail / 3/8 in truss rod.</t>
        </is>
      </c>
      <c r="C11" s="37" t="inlineStr">
        <is>
          <t>EA</t>
        </is>
      </c>
      <c r="D11" s="38" t="n"/>
      <c r="E11" s="38" t="n"/>
      <c r="F11" s="39" t="n"/>
      <c r="G11" s="39" t="n"/>
    </row>
    <row r="12" ht="15" customHeight="1" s="26">
      <c r="A12" s="37" t="inlineStr">
        <is>
          <t>M11</t>
        </is>
      </c>
      <c r="B12" s="37" t="inlineStr">
        <is>
          <t>Rail end cup / rail end band | For 1-5/8 in OD rail at terminal, corner and gate posts.</t>
        </is>
      </c>
      <c r="C12" s="37" t="inlineStr">
        <is>
          <t>EA</t>
        </is>
      </c>
      <c r="D12" s="38" t="n"/>
      <c r="E12" s="38" t="n"/>
      <c r="F12" s="39" t="n"/>
      <c r="G12" s="39" t="n"/>
    </row>
    <row r="13" ht="15" customHeight="1" s="26">
      <c r="A13" s="37" t="inlineStr">
        <is>
          <t>M12</t>
        </is>
      </c>
      <c r="B13" s="37" t="inlineStr">
        <is>
          <t>Tension bar, Type A | 3/16 x 3/4 in flat bar, galvanized, about 118 in long (10 ft fabric).</t>
        </is>
      </c>
      <c r="C13" s="37" t="inlineStr">
        <is>
          <t>EA</t>
        </is>
      </c>
      <c r="D13" s="38" t="n"/>
      <c r="E13" s="38" t="n"/>
      <c r="F13" s="39" t="n"/>
      <c r="G13" s="39" t="n"/>
    </row>
    <row r="14" ht="15" customHeight="1" s="26">
      <c r="A14" s="37" t="inlineStr">
        <is>
          <t>M13</t>
        </is>
      </c>
      <c r="B14" s="37" t="inlineStr">
        <is>
          <t>Tension bar, Type B | 3/16 x 3/4 in flat bar, galvanized, about 40 in long (42 in fabric).</t>
        </is>
      </c>
      <c r="C14" s="37" t="inlineStr">
        <is>
          <t>EA</t>
        </is>
      </c>
      <c r="D14" s="38" t="n"/>
      <c r="E14" s="38" t="n"/>
      <c r="F14" s="39" t="n"/>
      <c r="G14" s="39" t="n"/>
    </row>
    <row r="15" ht="15" customHeight="1" s="26">
      <c r="A15" s="37" t="inlineStr">
        <is>
          <t>M14</t>
        </is>
      </c>
      <c r="B15" s="37" t="inlineStr">
        <is>
          <t>Tension band, 2-7/8 in post | For 3/4 in tension bar on 2-7/8 in OD post.</t>
        </is>
      </c>
      <c r="C15" s="37" t="inlineStr">
        <is>
          <t>EA</t>
        </is>
      </c>
      <c r="D15" s="38" t="n"/>
      <c r="E15" s="38" t="n"/>
      <c r="F15" s="39" t="n"/>
      <c r="G15" s="39" t="n"/>
    </row>
    <row r="16" ht="15" customHeight="1" s="26">
      <c r="A16" s="37" t="inlineStr">
        <is>
          <t>M15</t>
        </is>
      </c>
      <c r="B16" s="37" t="inlineStr">
        <is>
          <t>Tension band, 2-3/8 in post | For 3/4 in tension bar on 2-3/8 in OD post (Type B terminals).</t>
        </is>
      </c>
      <c r="C16" s="37" t="inlineStr">
        <is>
          <t>EA</t>
        </is>
      </c>
      <c r="D16" s="38" t="n"/>
      <c r="E16" s="38" t="n"/>
      <c r="F16" s="39" t="n"/>
      <c r="G16" s="39" t="n"/>
    </row>
    <row r="17" ht="15" customHeight="1" s="26">
      <c r="A17" s="37" t="inlineStr">
        <is>
          <t>M16</t>
        </is>
      </c>
      <c r="B17" s="37" t="inlineStr">
        <is>
          <t>Post cap, 2-7/8 in | Galvanized, for 2-7/8 in OD post. Dome vs loop-top not stated ('POST CAP, TYP.').</t>
        </is>
      </c>
      <c r="C17" s="37" t="inlineStr">
        <is>
          <t>EA</t>
        </is>
      </c>
      <c r="D17" s="38" t="n"/>
      <c r="E17" s="38" t="n"/>
      <c r="F17" s="39" t="n"/>
      <c r="G17" s="39" t="n"/>
    </row>
    <row r="18" ht="15" customHeight="1" s="26">
      <c r="A18" s="37" t="inlineStr">
        <is>
          <t>M17</t>
        </is>
      </c>
      <c r="B18" s="37" t="inlineStr">
        <is>
          <t>Post cap, 2-3/8 in | Galvanized, for 2-3/8 in OD post (Type A line posts and Type B terminals). Dome vs loop-top not stated.</t>
        </is>
      </c>
      <c r="C18" s="37" t="inlineStr">
        <is>
          <t>EA</t>
        </is>
      </c>
      <c r="D18" s="38" t="n"/>
      <c r="E18" s="38" t="n"/>
      <c r="F18" s="39" t="n"/>
      <c r="G18" s="39" t="n"/>
    </row>
    <row r="19" ht="15" customHeight="1" s="26">
      <c r="A19" s="37" t="inlineStr">
        <is>
          <t>M18</t>
        </is>
      </c>
      <c r="B19" s="37" t="inlineStr">
        <is>
          <t>Post cap, 1-7/8 in | Galvanized, for 1-7/8 in OD post (Type B line posts).</t>
        </is>
      </c>
      <c r="C19" s="37" t="inlineStr">
        <is>
          <t>EA</t>
        </is>
      </c>
      <c r="D19" s="38" t="n"/>
      <c r="E19" s="38" t="n"/>
      <c r="F19" s="39" t="n"/>
      <c r="G19" s="39" t="n"/>
    </row>
    <row r="20" ht="15" customHeight="1" s="26">
      <c r="A20" s="37" t="inlineStr">
        <is>
          <t>M19</t>
        </is>
      </c>
      <c r="B20" s="37" t="inlineStr">
        <is>
          <t>Chain link fabric, 10 ft | 120 in high, 9 ga core, 2 in mesh, galvanized, KK/KK selvages. Coating class not specified.</t>
        </is>
      </c>
      <c r="C20" s="37" t="inlineStr">
        <is>
          <t>LF</t>
        </is>
      </c>
      <c r="D20" s="38" t="n"/>
      <c r="E20" s="38" t="n"/>
      <c r="F20" s="39" t="n"/>
      <c r="G20" s="39" t="n"/>
    </row>
    <row r="21" ht="15" customHeight="1" s="26">
      <c r="A21" s="37" t="inlineStr">
        <is>
          <t>M20</t>
        </is>
      </c>
      <c r="B21" s="37" t="inlineStr">
        <is>
          <t>Chain link fabric, 42 in | 42 in high, 9 ga core, 2 in mesh, galvanized, KK/KK selvages.</t>
        </is>
      </c>
      <c r="C21" s="37" t="inlineStr">
        <is>
          <t>LF</t>
        </is>
      </c>
      <c r="D21" s="38" t="n"/>
      <c r="E21" s="38" t="n"/>
      <c r="F21" s="39" t="n"/>
      <c r="G21" s="39" t="n"/>
    </row>
    <row r="22" ht="15" customHeight="1" s="26">
      <c r="A22" s="37" t="inlineStr">
        <is>
          <t>M21</t>
        </is>
      </c>
      <c r="B22" s="37" t="inlineStr">
        <is>
          <t>Gate leaf fabric | 84 in high (7 ft frame), 9 ga core, 2 in mesh, galvanized. Matches fence fabric.</t>
        </is>
      </c>
      <c r="C22" s="37" t="inlineStr">
        <is>
          <t>LF</t>
        </is>
      </c>
      <c r="D22" s="38" t="n"/>
      <c r="E22" s="38" t="n"/>
      <c r="F22" s="39" t="n"/>
      <c r="G22" s="39" t="n"/>
    </row>
    <row r="23" ht="15" customHeight="1" s="26">
      <c r="A23" s="37" t="inlineStr">
        <is>
          <t>M22</t>
        </is>
      </c>
      <c r="B23" s="37" t="inlineStr">
        <is>
          <t>Transom fabric above gate header | 36 in high, 9 ga core, 2 in mesh, galvanized (10 ft fence minus 7 ft gate).</t>
        </is>
      </c>
      <c r="C23" s="37" t="inlineStr">
        <is>
          <t>LF</t>
        </is>
      </c>
      <c r="D23" s="38" t="n"/>
      <c r="E23" s="38" t="n"/>
      <c r="F23" s="39" t="n"/>
      <c r="G23" s="39" t="n"/>
    </row>
    <row r="24" ht="15" customHeight="1" s="26">
      <c r="A24" s="37" t="inlineStr">
        <is>
          <t>M23</t>
        </is>
      </c>
      <c r="B24" s="37" t="inlineStr">
        <is>
          <t>Bottom tension wire | 7 ga, galvanized, coil spring. Type A + Type B.</t>
        </is>
      </c>
      <c r="C24" s="37" t="inlineStr">
        <is>
          <t>LF</t>
        </is>
      </c>
      <c r="D24" s="38" t="n"/>
      <c r="E24" s="38" t="n"/>
      <c r="F24" s="39" t="n"/>
      <c r="G24" s="39" t="n"/>
    </row>
    <row r="25" ht="15" customHeight="1" s="26">
      <c r="A25" s="37" t="inlineStr">
        <is>
          <t>M24</t>
        </is>
      </c>
      <c r="B25" s="37" t="inlineStr">
        <is>
          <t>Fabric tie, 2-3/8 in post (Type A line) | 9 ga aluminum tie wire, pre-formed for 2-3/8 in OD post.</t>
        </is>
      </c>
      <c r="C25" s="37" t="inlineStr">
        <is>
          <t>EA</t>
        </is>
      </c>
      <c r="D25" s="38" t="n"/>
      <c r="E25" s="38" t="n"/>
      <c r="F25" s="39" t="n"/>
      <c r="G25" s="39" t="n"/>
    </row>
    <row r="26" ht="15" customHeight="1" s="26">
      <c r="A26" s="37" t="inlineStr">
        <is>
          <t>M25</t>
        </is>
      </c>
      <c r="B26" s="37" t="inlineStr">
        <is>
          <t>Fabric tie, 1-7/8 in post (Type B line) | 9 ga aluminum tie wire, pre-formed for 1-7/8 in OD post.</t>
        </is>
      </c>
      <c r="C26" s="37" t="inlineStr">
        <is>
          <t>EA</t>
        </is>
      </c>
      <c r="D26" s="38" t="n"/>
      <c r="E26" s="38" t="n"/>
      <c r="F26" s="39" t="n"/>
      <c r="G26" s="39" t="n"/>
    </row>
    <row r="27" ht="15" customHeight="1" s="26">
      <c r="A27" s="37" t="inlineStr">
        <is>
          <t>M26</t>
        </is>
      </c>
      <c r="B27" s="37" t="inlineStr">
        <is>
          <t>Fabric tie, 1-5/8 in rail | 9 ga aluminum tie wire, pre-formed for 1-5/8 in OD rail.</t>
        </is>
      </c>
      <c r="C27" s="37" t="inlineStr">
        <is>
          <t>EA</t>
        </is>
      </c>
      <c r="D27" s="38" t="n"/>
      <c r="E27" s="38" t="n"/>
      <c r="F27" s="39" t="n"/>
      <c r="G27" s="39" t="n"/>
    </row>
    <row r="28" ht="15" customHeight="1" s="26">
      <c r="A28" s="37" t="inlineStr">
        <is>
          <t>M27</t>
        </is>
      </c>
      <c r="B28" s="37" t="inlineStr">
        <is>
          <t>Tension wire tie / hog ring | 9 ga aluminum tie or hog ring for 7 ga tension wire.</t>
        </is>
      </c>
      <c r="C28" s="37" t="inlineStr">
        <is>
          <t>EA</t>
        </is>
      </c>
      <c r="D28" s="38" t="n"/>
      <c r="E28" s="38" t="n"/>
      <c r="F28" s="39" t="n"/>
      <c r="G28" s="39" t="n"/>
    </row>
    <row r="29" ht="15" customHeight="1" s="26">
      <c r="A29" s="37" t="inlineStr">
        <is>
          <t>M28</t>
        </is>
      </c>
      <c r="B29" s="37" t="inlineStr">
        <is>
          <t>Gate frame pipe | 1-7/8 in OD (nominal 1.900), galvanized. Leaf = 2 verticals + 3 horizontals.</t>
        </is>
      </c>
      <c r="C29" s="37" t="inlineStr">
        <is>
          <t>LF</t>
        </is>
      </c>
      <c r="D29" s="38" t="n"/>
      <c r="E29" s="38" t="n"/>
      <c r="F29" s="39" t="n"/>
      <c r="G29" s="39" t="n"/>
    </row>
    <row r="30" ht="15" customHeight="1" s="26">
      <c r="A30" s="37" t="inlineStr">
        <is>
          <t>M29</t>
        </is>
      </c>
      <c r="B30" s="37" t="inlineStr">
        <is>
          <t>Gate frame elbow | 1-7/8 in OD, galvanized (fitted corners option).</t>
        </is>
      </c>
      <c r="C30" s="37" t="inlineStr">
        <is>
          <t>EA</t>
        </is>
      </c>
      <c r="D30" s="38" t="n"/>
      <c r="E30" s="38" t="n"/>
      <c r="F30" s="39" t="n"/>
      <c r="G30" s="39" t="n"/>
    </row>
    <row r="31" ht="15" customHeight="1" s="26">
      <c r="A31" s="37" t="inlineStr">
        <is>
          <t>M30</t>
        </is>
      </c>
      <c r="B31" s="37" t="inlineStr">
        <is>
          <t>Gate frame tee | 1-7/8 in OD, galvanized (mid rail connection).</t>
        </is>
      </c>
      <c r="C31" s="37" t="inlineStr">
        <is>
          <t>EA</t>
        </is>
      </c>
      <c r="D31" s="38" t="n"/>
      <c r="E31" s="38" t="n"/>
      <c r="F31" s="39" t="n"/>
      <c r="G31" s="39" t="n"/>
    </row>
    <row r="32" ht="15" customHeight="1" s="26">
      <c r="A32" s="37" t="inlineStr">
        <is>
          <t>M31</t>
        </is>
      </c>
      <c r="B32" s="37" t="inlineStr">
        <is>
          <t>Truss rod, gate leaf, adjustable | 3/8 in dia, adjustable, galvanized, one diagonal per leaf.</t>
        </is>
      </c>
      <c r="C32" s="37" t="inlineStr">
        <is>
          <t>EA</t>
        </is>
      </c>
      <c r="D32" s="38" t="n"/>
      <c r="E32" s="38" t="n"/>
      <c r="F32" s="39" t="n"/>
      <c r="G32" s="39" t="n"/>
    </row>
    <row r="33" ht="15" customHeight="1" s="26">
      <c r="A33" s="37" t="inlineStr">
        <is>
          <t>M32</t>
        </is>
      </c>
      <c r="B33" s="37" t="inlineStr">
        <is>
          <t>Gate hinge, 180 degree | Malleable, 3 per leaf, to suit 2-7/8 in post and 1-7/8 in frame.</t>
        </is>
      </c>
      <c r="C33" s="37" t="inlineStr">
        <is>
          <t>EA</t>
        </is>
      </c>
      <c r="D33" s="38" t="n"/>
      <c r="E33" s="38" t="n"/>
      <c r="F33" s="39" t="n"/>
      <c r="G33" s="39" t="n"/>
    </row>
    <row r="34" ht="15" customHeight="1" s="26">
      <c r="A34" s="37" t="inlineStr">
        <is>
          <t>M33</t>
        </is>
      </c>
      <c r="B34" s="37" t="inlineStr">
        <is>
          <t>Gate latch, industrial fork with padlock eye | Galvanized, for 1-7/8 in frame.</t>
        </is>
      </c>
      <c r="C34" s="37" t="inlineStr">
        <is>
          <t>EA</t>
        </is>
      </c>
      <c r="D34" s="38" t="n"/>
      <c r="E34" s="38" t="n"/>
      <c r="F34" s="39" t="n"/>
      <c r="G34" s="39" t="n"/>
    </row>
    <row r="35" ht="15" customHeight="1" s="26">
      <c r="A35" s="37" t="inlineStr">
        <is>
          <t>M34</t>
        </is>
      </c>
      <c r="B35" s="37" t="inlineStr">
        <is>
          <t>Gate hold-back / stop | Galvanized, per spec 32 31 13 (spec not provided).</t>
        </is>
      </c>
      <c r="C35" s="37" t="inlineStr">
        <is>
          <t>EA</t>
        </is>
      </c>
      <c r="D35" s="38" t="n"/>
      <c r="E35" s="38" t="n"/>
      <c r="F35" s="39" t="n"/>
      <c r="G35" s="39" t="n"/>
    </row>
    <row r="36" ht="15" customHeight="1" s="26">
      <c r="A36" s="37" t="inlineStr">
        <is>
          <t>M35</t>
        </is>
      </c>
      <c r="B36" s="37" t="inlineStr">
        <is>
          <t>Header rail | 1-5/8 in OD, galvanized, across each opening.</t>
        </is>
      </c>
      <c r="C36" s="37" t="inlineStr">
        <is>
          <t>LF</t>
        </is>
      </c>
      <c r="D36" s="38" t="n"/>
      <c r="E36" s="38" t="n"/>
      <c r="F36" s="39" t="n"/>
      <c r="G36" s="39" t="n"/>
    </row>
    <row r="37" ht="15" customHeight="1" s="26">
      <c r="A37" s="37" t="inlineStr">
        <is>
          <t>M36</t>
        </is>
      </c>
      <c r="B37" s="37" t="inlineStr">
        <is>
          <t>Tension bar, gate leaf | 3/16 x 3/4 in flat bar, about 80 in long (7 ft leaf).</t>
        </is>
      </c>
      <c r="C37" s="37" t="inlineStr">
        <is>
          <t>EA</t>
        </is>
      </c>
      <c r="D37" s="38" t="n"/>
      <c r="E37" s="38" t="n"/>
      <c r="F37" s="39" t="n"/>
      <c r="G37" s="39" t="n"/>
    </row>
    <row r="38" ht="15" customHeight="1" s="26">
      <c r="A38" s="37" t="inlineStr">
        <is>
          <t>M37</t>
        </is>
      </c>
      <c r="B38" s="37" t="inlineStr">
        <is>
          <t>Tension band, 1-7/8 in frame | For 3/4 in tension bar on 1-7/8 in OD gate frame.</t>
        </is>
      </c>
      <c r="C38" s="37" t="inlineStr">
        <is>
          <t>EA</t>
        </is>
      </c>
      <c r="D38" s="38" t="n"/>
      <c r="E38" s="38" t="n"/>
      <c r="F38" s="39" t="n"/>
      <c r="G38" s="39" t="n"/>
    </row>
    <row r="39" ht="15" customHeight="1" s="26">
      <c r="A39" s="37" t="inlineStr">
        <is>
          <t>M38</t>
        </is>
      </c>
      <c r="B39" s="37" t="inlineStr">
        <is>
          <t>Windscreen | Knitted polypropylene, 88% nominal shade, reinforced hems, brass grommets at 12 in o.c. top and bottom, 9 ft high.</t>
        </is>
      </c>
      <c r="C39" s="37" t="inlineStr">
        <is>
          <t>LF</t>
        </is>
      </c>
      <c r="D39" s="38" t="n"/>
      <c r="E39" s="38" t="n"/>
      <c r="F39" s="39" t="n"/>
      <c r="G39" s="39" t="n"/>
    </row>
    <row r="40" ht="15" customHeight="1" s="26">
      <c r="A40" s="37" t="inlineStr">
        <is>
          <t>M39</t>
        </is>
      </c>
      <c r="B40" s="37" t="inlineStr">
        <is>
          <t>Cable tie, UV-resistant nylon | Heavy-duty (about 14 in), UV black. One per grommet.</t>
        </is>
      </c>
      <c r="C40" s="37" t="inlineStr">
        <is>
          <t>EA</t>
        </is>
      </c>
      <c r="D40" s="38" t="n"/>
      <c r="E40" s="38" t="n"/>
      <c r="F40" s="39" t="n"/>
      <c r="G40" s="39" t="n"/>
    </row>
    <row r="41" ht="15" customHeight="1" s="26">
      <c r="A41" s="37" t="inlineStr">
        <is>
          <t>M40</t>
        </is>
      </c>
      <c r="B41" s="37" t="inlineStr">
        <is>
          <t>Ready-mix concrete | Strength / slump per Section 32 31 13 (spec not provided).</t>
        </is>
      </c>
      <c r="C41" s="37" t="inlineStr">
        <is>
          <t>CU YD</t>
        </is>
      </c>
      <c r="D41" s="38" t="n"/>
      <c r="E41" s="38" t="n"/>
      <c r="F41" s="39" t="n"/>
      <c r="G41" s="39" t="n"/>
    </row>
    <row r="42" ht="15" customHeight="1" s="26">
      <c r="A42" s="37" t="inlineStr">
        <is>
          <t>M42</t>
        </is>
      </c>
      <c r="B42" s="37" t="inlineStr">
        <is>
          <t>Fence guard, UV-stabilized polyethylene, on Type B top rail | Standard-wall polyethylene cover, owner-selected color, per linear foot.</t>
        </is>
      </c>
      <c r="C42" s="37" t="inlineStr">
        <is>
          <t>LF</t>
        </is>
      </c>
      <c r="D42" s="38" t="n"/>
      <c r="E42" s="38" t="n"/>
      <c r="F42" s="39" t="n"/>
      <c r="G42" s="39" t="n"/>
    </row>
    <row r="43" ht="15" customHeight="1" s="26">
      <c r="A43" s="37" t="inlineStr">
        <is>
          <t>M43</t>
        </is>
      </c>
      <c r="B43" s="37" t="inlineStr">
        <is>
          <t>Gate center drop rod, double-leaf gate | Galvanized drop rod with fork keeper; one per double-leaf gate.</t>
        </is>
      </c>
      <c r="C43" s="37" t="inlineStr">
        <is>
          <t>EA</t>
        </is>
      </c>
      <c r="D43" s="38" t="n"/>
      <c r="E43" s="38" t="n"/>
      <c r="F43" s="39" t="n"/>
      <c r="G43" s="39" t="n"/>
    </row>
    <row r="44" ht="15" customHeight="1" s="26">
      <c r="A44" s="37" t="inlineStr">
        <is>
          <t>M44</t>
        </is>
      </c>
      <c r="B44" s="37" t="inlineStr">
        <is>
          <t>Gate ground socket, for center drop rod | Ground socket for the drop rod; set in the gate footing/pavement.</t>
        </is>
      </c>
      <c r="C44" s="37" t="inlineStr">
        <is>
          <t>EA</t>
        </is>
      </c>
      <c r="D44" s="38" t="n"/>
      <c r="E44" s="38" t="n"/>
      <c r="F44" s="39" t="n"/>
      <c r="G44" s="39" t="n"/>
    </row>
    <row r="45" ht="15" customHeight="1" s="26">
      <c r="A45" s="37" t="inlineStr">
        <is>
          <t>S01</t>
        </is>
      </c>
      <c r="B45" s="37" t="inlineStr">
        <is>
          <t>Core drilling through pavement and base, per footing hole</t>
        </is>
      </c>
      <c r="C45" s="37" t="inlineStr">
        <is>
          <t>EA</t>
        </is>
      </c>
      <c r="D45" s="38" t="n"/>
      <c r="E45" s="38" t="n"/>
      <c r="F45" s="39" t="n"/>
      <c r="G45" s="39" t="n"/>
    </row>
    <row r="46" ht="15" customHeight="1" s="26">
      <c r="A46" s="37" t="inlineStr">
        <is>
          <t>D01</t>
        </is>
      </c>
      <c r="B46" s="37" t="inlineStr">
        <is>
          <t>Type A net fence length</t>
        </is>
      </c>
      <c r="C46" s="37" t="inlineStr">
        <is>
          <t>LF</t>
        </is>
      </c>
      <c r="D46" s="38" t="n"/>
      <c r="E46" s="38" t="n"/>
      <c r="F46" s="39" t="n"/>
      <c r="G46" s="39" t="n"/>
    </row>
    <row r="47" ht="15" customHeight="1" s="26">
      <c r="A47" s="37" t="inlineStr">
        <is>
          <t>D02</t>
        </is>
      </c>
      <c r="B47" s="37" t="inlineStr">
        <is>
          <t>Type B (divider) fence length</t>
        </is>
      </c>
      <c r="C47" s="37" t="inlineStr">
        <is>
          <t>LF</t>
        </is>
      </c>
      <c r="D47" s="38" t="n"/>
      <c r="E47" s="38" t="n"/>
      <c r="F47" s="39" t="n"/>
      <c r="G47" s="39" t="n"/>
    </row>
    <row r="48" ht="15" customHeight="1" s="26">
      <c r="A48" s="37" t="inlineStr">
        <is>
          <t>D03</t>
        </is>
      </c>
      <c r="B48" s="37" t="inlineStr">
        <is>
          <t>Posts to set, all types</t>
        </is>
      </c>
      <c r="C48" s="37" t="inlineStr">
        <is>
          <t>EA</t>
        </is>
      </c>
      <c r="D48" s="38" t="n"/>
      <c r="E48" s="38" t="n"/>
      <c r="F48" s="39" t="n"/>
      <c r="G48" s="39" t="n"/>
    </row>
    <row r="49" ht="15" customHeight="1" s="26">
      <c r="A49" s="37" t="inlineStr">
        <is>
          <t>D04</t>
        </is>
      </c>
      <c r="B49" s="37" t="inlineStr">
        <is>
          <t>Footing holes to drill, all types</t>
        </is>
      </c>
      <c r="C49" s="37" t="inlineStr">
        <is>
          <t>EA</t>
        </is>
      </c>
      <c r="D49" s="38" t="n"/>
      <c r="E49" s="38" t="n"/>
      <c r="F49" s="39" t="n"/>
      <c r="G49" s="39" t="n"/>
    </row>
    <row r="50" ht="15" customHeight="1" s="26">
      <c r="A50" s="37" t="inlineStr">
        <is>
          <t>D05</t>
        </is>
      </c>
      <c r="B50" s="37" t="inlineStr">
        <is>
          <t>Concrete placed</t>
        </is>
      </c>
      <c r="C50" s="37" t="inlineStr">
        <is>
          <t>CU YD</t>
        </is>
      </c>
      <c r="D50" s="38" t="n"/>
      <c r="E50" s="38" t="n"/>
      <c r="F50" s="39" t="n"/>
      <c r="G50" s="39" t="n"/>
    </row>
    <row r="51" ht="15" customHeight="1" s="26">
      <c r="A51" s="37" t="inlineStr">
        <is>
          <t>D06</t>
        </is>
      </c>
      <c r="B51" s="37" t="inlineStr">
        <is>
          <t>Top rail to install</t>
        </is>
      </c>
      <c r="C51" s="37" t="inlineStr">
        <is>
          <t>LF</t>
        </is>
      </c>
      <c r="D51" s="38" t="n"/>
      <c r="E51" s="38" t="n"/>
      <c r="F51" s="39" t="n"/>
      <c r="G51" s="39" t="n"/>
    </row>
    <row r="52" ht="15" customHeight="1" s="26">
      <c r="A52" s="37" t="inlineStr">
        <is>
          <t>D07</t>
        </is>
      </c>
      <c r="B52" s="37" t="inlineStr">
        <is>
          <t>Fabric to hang, all types</t>
        </is>
      </c>
      <c r="C52" s="37" t="inlineStr">
        <is>
          <t>LF</t>
        </is>
      </c>
      <c r="D52" s="38" t="n"/>
      <c r="E52" s="38" t="n"/>
      <c r="F52" s="39" t="n"/>
      <c r="G52" s="39" t="n"/>
    </row>
    <row r="53" ht="15" customHeight="1" s="26">
      <c r="A53" s="37" t="inlineStr">
        <is>
          <t>D08</t>
        </is>
      </c>
      <c r="B53" s="37" t="inlineStr">
        <is>
          <t>Braces (truss rod + brace rail)</t>
        </is>
      </c>
      <c r="C53" s="37" t="inlineStr">
        <is>
          <t>EA</t>
        </is>
      </c>
      <c r="D53" s="38" t="n"/>
      <c r="E53" s="38" t="n"/>
      <c r="F53" s="39" t="n"/>
      <c r="G53" s="39" t="n"/>
    </row>
    <row r="54" ht="15" customHeight="1" s="26">
      <c r="A54" s="37" t="inlineStr">
        <is>
          <t>D09</t>
        </is>
      </c>
      <c r="B54" s="37" t="inlineStr">
        <is>
          <t>Gates to hang</t>
        </is>
      </c>
      <c r="C54" s="37" t="inlineStr">
        <is>
          <t>EA</t>
        </is>
      </c>
      <c r="D54" s="38" t="n"/>
      <c r="E54" s="38" t="n"/>
      <c r="F54" s="39" t="n"/>
      <c r="G54" s="39" t="n"/>
    </row>
    <row r="55" ht="15" customHeight="1" s="26">
      <c r="A55" s="37" t="inlineStr">
        <is>
          <t>D10</t>
        </is>
      </c>
      <c r="B55" s="37" t="inlineStr">
        <is>
          <t>Windscreen to install</t>
        </is>
      </c>
      <c r="C55" s="37" t="inlineStr">
        <is>
          <t>LF</t>
        </is>
      </c>
      <c r="D55" s="38" t="n"/>
      <c r="E55" s="38" t="n"/>
      <c r="F55" s="39" t="n"/>
      <c r="G55" s="39" t="n"/>
    </row>
    <row r="56" ht="15" customHeight="1" s="26">
      <c r="A56" s="37" t="inlineStr">
        <is>
          <t>D11</t>
        </is>
      </c>
      <c r="B56" s="37" t="inlineStr">
        <is>
          <t>Tension wire to install</t>
        </is>
      </c>
      <c r="C56" s="37" t="inlineStr">
        <is>
          <t>LF</t>
        </is>
      </c>
      <c r="D56" s="38" t="n"/>
      <c r="E56" s="38" t="n"/>
      <c r="F56" s="39" t="n"/>
      <c r="G56" s="39" t="n"/>
    </row>
    <row r="57" ht="15" customHeight="1" s="26">
      <c r="A57" s="37" t="inlineStr">
        <is>
          <t>D12</t>
        </is>
      </c>
      <c r="B57" s="37" t="inlineStr">
        <is>
          <t>Layout / stakeout length (gross perimeter + dividers)</t>
        </is>
      </c>
      <c r="C57" s="37" t="inlineStr">
        <is>
          <t>LF</t>
        </is>
      </c>
      <c r="D57" s="38" t="n"/>
      <c r="E57" s="38" t="n"/>
      <c r="F57" s="39" t="n"/>
      <c r="G57" s="39" t="n"/>
    </row>
    <row r="58" ht="15" customHeight="1" s="26">
      <c r="A58" s="37" t="n"/>
      <c r="B58" s="37" t="n"/>
      <c r="C58" s="37" t="n"/>
      <c r="D58" s="38" t="n"/>
      <c r="E58" s="38" t="n"/>
      <c r="F58" s="39" t="n"/>
      <c r="G58" s="39" t="n"/>
    </row>
    <row r="59" ht="15" customHeight="1" s="26">
      <c r="A59" s="37" t="n"/>
      <c r="B59" s="37" t="n"/>
      <c r="C59" s="37" t="n"/>
      <c r="D59" s="38" t="n"/>
      <c r="E59" s="38" t="n"/>
      <c r="F59" s="39" t="n"/>
      <c r="G59" s="39" t="n"/>
    </row>
    <row r="60" ht="15" customHeight="1" s="26">
      <c r="A60" s="37" t="n"/>
      <c r="B60" s="37" t="n"/>
      <c r="C60" s="37" t="n"/>
      <c r="D60" s="38" t="n"/>
      <c r="E60" s="38" t="n"/>
      <c r="F60" s="39" t="n"/>
      <c r="G60" s="39" t="n"/>
    </row>
    <row r="61" ht="15" customHeight="1" s="26">
      <c r="A61" s="37" t="n"/>
      <c r="B61" s="37" t="n"/>
      <c r="C61" s="37" t="n"/>
      <c r="D61" s="38" t="n"/>
      <c r="E61" s="38" t="n"/>
      <c r="F61" s="39" t="n"/>
      <c r="G61" s="39" t="n"/>
    </row>
    <row r="62" ht="15" customHeight="1" s="26">
      <c r="A62" s="37" t="n"/>
      <c r="B62" s="37" t="n"/>
      <c r="C62" s="37" t="n"/>
      <c r="D62" s="38" t="n"/>
      <c r="E62" s="38" t="n"/>
      <c r="F62" s="39" t="n"/>
      <c r="G62" s="39" t="n"/>
    </row>
    <row r="63" ht="15" customHeight="1" s="26">
      <c r="A63" s="37" t="n"/>
      <c r="B63" s="37" t="n"/>
      <c r="C63" s="37" t="n"/>
      <c r="D63" s="38" t="n"/>
      <c r="E63" s="38" t="n"/>
      <c r="F63" s="39" t="n"/>
      <c r="G63" s="39" t="n"/>
    </row>
    <row r="64" ht="15" customHeight="1" s="26">
      <c r="A64" s="37" t="n"/>
      <c r="B64" s="37" t="n"/>
      <c r="C64" s="37" t="n"/>
      <c r="D64" s="38" t="n"/>
      <c r="E64" s="38" t="n"/>
      <c r="F64" s="39" t="n"/>
      <c r="G64" s="39" t="n"/>
    </row>
    <row r="65" ht="15" customHeight="1" s="26">
      <c r="A65" s="37" t="n"/>
      <c r="B65" s="37" t="n"/>
      <c r="C65" s="37" t="n"/>
      <c r="D65" s="38" t="n"/>
      <c r="E65" s="38" t="n"/>
      <c r="F65" s="39" t="n"/>
      <c r="G65" s="39" t="n"/>
    </row>
    <row r="66" ht="15" customHeight="1" s="26">
      <c r="A66" s="37" t="n"/>
      <c r="B66" s="37" t="n"/>
      <c r="C66" s="37" t="n"/>
      <c r="D66" s="38" t="n"/>
      <c r="E66" s="38" t="n"/>
      <c r="F66" s="39" t="n"/>
      <c r="G66" s="39" t="n"/>
    </row>
    <row r="67" ht="15" customHeight="1" s="26">
      <c r="A67" s="37" t="n"/>
      <c r="B67" s="37" t="n"/>
      <c r="C67" s="37" t="n"/>
      <c r="D67" s="38" t="n"/>
      <c r="E67" s="38" t="n"/>
      <c r="F67" s="39" t="n"/>
      <c r="G67" s="39" t="n"/>
    </row>
    <row r="68" ht="15" customHeight="1" s="26">
      <c r="A68" s="37" t="n"/>
      <c r="B68" s="37" t="n"/>
      <c r="C68" s="37" t="n"/>
      <c r="D68" s="38" t="n"/>
      <c r="E68" s="38" t="n"/>
      <c r="F68" s="39" t="n"/>
      <c r="G68" s="39" t="n"/>
    </row>
    <row r="69" ht="15" customHeight="1" s="26">
      <c r="A69" s="37" t="n"/>
      <c r="B69" s="37" t="n"/>
      <c r="C69" s="37" t="n"/>
      <c r="D69" s="38" t="n"/>
      <c r="E69" s="38" t="n"/>
      <c r="F69" s="39" t="n"/>
      <c r="G69" s="39" t="n"/>
    </row>
    <row r="70" ht="15" customHeight="1" s="26">
      <c r="A70" s="37" t="n"/>
      <c r="B70" s="37" t="n"/>
      <c r="C70" s="37" t="n"/>
      <c r="D70" s="38" t="n"/>
      <c r="E70" s="38" t="n"/>
      <c r="F70" s="39" t="n"/>
      <c r="G70" s="39" t="n"/>
    </row>
    <row r="71" ht="15" customHeight="1" s="26">
      <c r="A71" s="37" t="n"/>
      <c r="B71" s="37" t="n"/>
      <c r="C71" s="37" t="n"/>
      <c r="D71" s="38" t="n"/>
      <c r="E71" s="38" t="n"/>
      <c r="F71" s="39" t="n"/>
      <c r="G71" s="39" t="n"/>
    </row>
    <row r="72" ht="15" customHeight="1" s="26">
      <c r="A72" s="37" t="n"/>
      <c r="B72" s="37" t="n"/>
      <c r="C72" s="37" t="n"/>
      <c r="D72" s="38" t="n"/>
      <c r="E72" s="38" t="n"/>
      <c r="F72" s="39" t="n"/>
      <c r="G72" s="39" t="n"/>
    </row>
    <row r="73" ht="15" customHeight="1" s="26">
      <c r="A73" s="37" t="n"/>
      <c r="B73" s="37" t="n"/>
      <c r="C73" s="37" t="n"/>
      <c r="D73" s="38" t="n"/>
      <c r="E73" s="38" t="n"/>
      <c r="F73" s="39" t="n"/>
      <c r="G73" s="39" t="n"/>
    </row>
    <row r="74" ht="15" customHeight="1" s="26">
      <c r="A74" s="37" t="n"/>
      <c r="B74" s="37" t="n"/>
      <c r="C74" s="37" t="n"/>
      <c r="D74" s="38" t="n"/>
      <c r="E74" s="38" t="n"/>
      <c r="F74" s="39" t="n"/>
      <c r="G74" s="39" t="n"/>
    </row>
    <row r="75" ht="15" customHeight="1" s="26">
      <c r="A75" s="37" t="n"/>
      <c r="B75" s="37" t="n"/>
      <c r="C75" s="37" t="n"/>
      <c r="D75" s="38" t="n"/>
      <c r="E75" s="38" t="n"/>
      <c r="F75" s="39" t="n"/>
      <c r="G75" s="39" t="n"/>
    </row>
    <row r="76" ht="15" customHeight="1" s="26">
      <c r="A76" s="37" t="n"/>
      <c r="B76" s="37" t="n"/>
      <c r="C76" s="37" t="n"/>
      <c r="D76" s="38" t="n"/>
      <c r="E76" s="38" t="n"/>
      <c r="F76" s="39" t="n"/>
      <c r="G76" s="39" t="n"/>
    </row>
    <row r="77" ht="15" customHeight="1" s="26">
      <c r="A77" s="37" t="n"/>
      <c r="B77" s="37" t="n"/>
      <c r="C77" s="37" t="n"/>
      <c r="D77" s="38" t="n"/>
      <c r="E77" s="38" t="n"/>
      <c r="F77" s="39" t="n"/>
      <c r="G77" s="39" t="n"/>
    </row>
    <row r="78" ht="15" customHeight="1" s="26">
      <c r="A78" s="37" t="n"/>
      <c r="B78" s="37" t="n"/>
      <c r="C78" s="37" t="n"/>
      <c r="D78" s="38" t="n"/>
      <c r="E78" s="38" t="n"/>
      <c r="F78" s="39" t="n"/>
      <c r="G78" s="39" t="n"/>
    </row>
    <row r="79" ht="15" customHeight="1" s="26">
      <c r="A79" s="37" t="n"/>
      <c r="B79" s="37" t="n"/>
      <c r="C79" s="37" t="n"/>
      <c r="D79" s="38" t="n"/>
      <c r="E79" s="38" t="n"/>
      <c r="F79" s="39" t="n"/>
      <c r="G79" s="39" t="n"/>
    </row>
    <row r="80" ht="15" customHeight="1" s="26">
      <c r="A80" s="37" t="n"/>
      <c r="B80" s="37" t="n"/>
      <c r="C80" s="37" t="n"/>
      <c r="D80" s="38" t="n"/>
      <c r="E80" s="38" t="n"/>
      <c r="F80" s="39" t="n"/>
      <c r="G80" s="39" t="n"/>
    </row>
    <row r="81" ht="15" customHeight="1" s="26">
      <c r="A81" s="37" t="n"/>
      <c r="B81" s="37" t="n"/>
      <c r="C81" s="37" t="n"/>
      <c r="D81" s="38" t="n"/>
      <c r="E81" s="38" t="n"/>
      <c r="F81" s="39" t="n"/>
      <c r="G81" s="39" t="n"/>
    </row>
    <row r="82" ht="15" customHeight="1" s="26">
      <c r="A82" s="37" t="n"/>
      <c r="B82" s="37" t="n"/>
      <c r="C82" s="37" t="n"/>
      <c r="D82" s="38" t="n"/>
      <c r="E82" s="38" t="n"/>
      <c r="F82" s="39" t="n"/>
      <c r="G82" s="39" t="n"/>
    </row>
    <row r="83" ht="15" customHeight="1" s="26">
      <c r="A83" s="37" t="n"/>
      <c r="B83" s="37" t="n"/>
      <c r="C83" s="37" t="n"/>
      <c r="D83" s="38" t="n"/>
      <c r="E83" s="38" t="n"/>
      <c r="F83" s="39" t="n"/>
      <c r="G83" s="39" t="n"/>
    </row>
    <row r="84" ht="15" customHeight="1" s="26">
      <c r="A84" s="37" t="n"/>
      <c r="B84" s="37" t="n"/>
      <c r="C84" s="37" t="n"/>
      <c r="D84" s="38" t="n"/>
      <c r="E84" s="38" t="n"/>
      <c r="F84" s="39" t="n"/>
      <c r="G84" s="39" t="n"/>
    </row>
    <row r="85" ht="15" customHeight="1" s="26">
      <c r="A85" s="37" t="n"/>
      <c r="B85" s="37" t="n"/>
      <c r="C85" s="37" t="n"/>
      <c r="D85" s="38" t="n"/>
      <c r="E85" s="38" t="n"/>
      <c r="F85" s="39" t="n"/>
      <c r="G85" s="39" t="n"/>
    </row>
    <row r="86" ht="15" customHeight="1" s="26">
      <c r="A86" s="37" t="n"/>
      <c r="B86" s="37" t="n"/>
      <c r="C86" s="37" t="n"/>
      <c r="D86" s="38" t="n"/>
      <c r="E86" s="38" t="n"/>
      <c r="F86" s="39" t="n"/>
      <c r="G86" s="39" t="n"/>
    </row>
    <row r="87" ht="15" customHeight="1" s="26">
      <c r="A87" s="37" t="n"/>
      <c r="B87" s="37" t="n"/>
      <c r="C87" s="37" t="n"/>
      <c r="D87" s="38" t="n"/>
      <c r="E87" s="38" t="n"/>
      <c r="F87" s="39" t="n"/>
      <c r="G87" s="39" t="n"/>
    </row>
    <row r="88" ht="15" customHeight="1" s="26">
      <c r="A88" s="37" t="n"/>
      <c r="B88" s="37" t="n"/>
      <c r="C88" s="37" t="n"/>
      <c r="D88" s="38" t="n"/>
      <c r="E88" s="38" t="n"/>
      <c r="F88" s="39" t="n"/>
      <c r="G88" s="39" t="n"/>
    </row>
    <row r="89" ht="15" customHeight="1" s="26">
      <c r="A89" s="37" t="n"/>
      <c r="B89" s="37" t="n"/>
      <c r="C89" s="37" t="n"/>
      <c r="D89" s="38" t="n"/>
      <c r="E89" s="38" t="n"/>
      <c r="F89" s="39" t="n"/>
      <c r="G89" s="39" t="n"/>
    </row>
    <row r="90" ht="15" customHeight="1" s="26">
      <c r="A90" s="37" t="n"/>
      <c r="B90" s="37" t="n"/>
      <c r="C90" s="37" t="n"/>
      <c r="D90" s="38" t="n"/>
      <c r="E90" s="38" t="n"/>
      <c r="F90" s="39" t="n"/>
      <c r="G90" s="39" t="n"/>
    </row>
    <row r="91" ht="15" customHeight="1" s="26">
      <c r="A91" s="37" t="n"/>
      <c r="B91" s="37" t="n"/>
      <c r="C91" s="37" t="n"/>
      <c r="D91" s="38" t="n"/>
      <c r="E91" s="38" t="n"/>
      <c r="F91" s="39" t="n"/>
      <c r="G91" s="39" t="n"/>
    </row>
    <row r="92" ht="15" customHeight="1" s="26">
      <c r="A92" s="37" t="n"/>
      <c r="B92" s="37" t="n"/>
      <c r="C92" s="37" t="n"/>
      <c r="D92" s="38" t="n"/>
      <c r="E92" s="38" t="n"/>
      <c r="F92" s="39" t="n"/>
      <c r="G92" s="39" t="n"/>
    </row>
    <row r="93" ht="15" customHeight="1" s="26">
      <c r="A93" s="37" t="n"/>
      <c r="B93" s="37" t="n"/>
      <c r="C93" s="37" t="n"/>
      <c r="D93" s="38" t="n"/>
      <c r="E93" s="38" t="n"/>
      <c r="F93" s="39" t="n"/>
      <c r="G93" s="39" t="n"/>
    </row>
    <row r="94" ht="15" customHeight="1" s="26">
      <c r="A94" s="37" t="n"/>
      <c r="B94" s="37" t="n"/>
      <c r="C94" s="37" t="n"/>
      <c r="D94" s="38" t="n"/>
      <c r="E94" s="38" t="n"/>
      <c r="F94" s="39" t="n"/>
      <c r="G94" s="39" t="n"/>
    </row>
    <row r="95" ht="15" customHeight="1" s="26">
      <c r="A95" s="37" t="n"/>
      <c r="B95" s="37" t="n"/>
      <c r="C95" s="37" t="n"/>
      <c r="D95" s="38" t="n"/>
      <c r="E95" s="38" t="n"/>
      <c r="F95" s="39" t="n"/>
      <c r="G95" s="39" t="n"/>
    </row>
    <row r="96" ht="15" customHeight="1" s="26">
      <c r="A96" s="37" t="n"/>
      <c r="B96" s="37" t="n"/>
      <c r="C96" s="37" t="n"/>
      <c r="D96" s="38" t="n"/>
      <c r="E96" s="38" t="n"/>
      <c r="F96" s="39" t="n"/>
      <c r="G96" s="39" t="n"/>
    </row>
    <row r="97" ht="15" customHeight="1" s="26">
      <c r="A97" s="37" t="n"/>
      <c r="B97" s="37" t="n"/>
      <c r="C97" s="37" t="n"/>
      <c r="D97" s="38" t="n"/>
      <c r="E97" s="38" t="n"/>
      <c r="F97" s="39" t="n"/>
      <c r="G97" s="39" t="n"/>
    </row>
    <row r="98" ht="15" customHeight="1" s="26">
      <c r="A98" s="37" t="n"/>
      <c r="B98" s="37" t="n"/>
      <c r="C98" s="37" t="n"/>
      <c r="D98" s="38" t="n"/>
      <c r="E98" s="38" t="n"/>
      <c r="F98" s="39" t="n"/>
      <c r="G98" s="39" t="n"/>
    </row>
    <row r="99" ht="15" customHeight="1" s="26">
      <c r="A99" s="37" t="n"/>
      <c r="B99" s="37" t="n"/>
      <c r="C99" s="37" t="n"/>
      <c r="D99" s="38" t="n"/>
      <c r="E99" s="38" t="n"/>
      <c r="F99" s="39" t="n"/>
      <c r="G99" s="39" t="n"/>
    </row>
    <row r="100" ht="15" customHeight="1" s="26">
      <c r="A100" s="37" t="n"/>
      <c r="B100" s="37" t="n"/>
      <c r="C100" s="37" t="n"/>
      <c r="D100" s="38" t="n"/>
      <c r="E100" s="38" t="n"/>
      <c r="F100" s="39" t="n"/>
      <c r="G100" s="39" t="n"/>
    </row>
    <row r="101" ht="15" customHeight="1" s="26">
      <c r="A101" s="37" t="n"/>
      <c r="B101" s="37" t="n"/>
      <c r="C101" s="37" t="n"/>
      <c r="D101" s="38" t="n"/>
      <c r="E101" s="38" t="n"/>
      <c r="F101" s="39" t="n"/>
      <c r="G101" s="39" t="n"/>
    </row>
    <row r="102" ht="15" customHeight="1" s="26">
      <c r="A102" s="37" t="n"/>
      <c r="B102" s="37" t="n"/>
      <c r="C102" s="37" t="n"/>
      <c r="D102" s="38" t="n"/>
      <c r="E102" s="38" t="n"/>
      <c r="F102" s="39" t="n"/>
      <c r="G102" s="39" t="n"/>
    </row>
    <row r="103" ht="15" customHeight="1" s="26">
      <c r="A103" s="37" t="n"/>
      <c r="B103" s="37" t="n"/>
      <c r="C103" s="37" t="n"/>
      <c r="D103" s="38" t="n"/>
      <c r="E103" s="38" t="n"/>
      <c r="F103" s="39" t="n"/>
      <c r="G103" s="39" t="n"/>
    </row>
    <row r="104" ht="15" customHeight="1" s="26">
      <c r="A104" s="37" t="n"/>
      <c r="B104" s="37" t="n"/>
      <c r="C104" s="37" t="n"/>
      <c r="D104" s="38" t="n"/>
      <c r="E104" s="38" t="n"/>
      <c r="F104" s="39" t="n"/>
      <c r="G104" s="39" t="n"/>
    </row>
    <row r="105" ht="15" customHeight="1" s="26">
      <c r="A105" s="37" t="n"/>
      <c r="B105" s="37" t="n"/>
      <c r="C105" s="37" t="n"/>
      <c r="D105" s="38" t="n"/>
      <c r="E105" s="38" t="n"/>
      <c r="F105" s="39" t="n"/>
      <c r="G105" s="39" t="n"/>
    </row>
    <row r="106" ht="15" customHeight="1" s="26">
      <c r="A106" s="37" t="n"/>
      <c r="B106" s="37" t="n"/>
      <c r="C106" s="37" t="n"/>
      <c r="D106" s="38" t="n"/>
      <c r="E106" s="38" t="n"/>
      <c r="F106" s="39" t="n"/>
      <c r="G106" s="39" t="n"/>
    </row>
    <row r="107" ht="15" customHeight="1" s="26">
      <c r="A107" s="37" t="n"/>
      <c r="B107" s="37" t="n"/>
      <c r="C107" s="37" t="n"/>
      <c r="D107" s="38" t="n"/>
      <c r="E107" s="38" t="n"/>
      <c r="F107" s="39" t="n"/>
      <c r="G107" s="39" t="n"/>
    </row>
    <row r="108" ht="15" customHeight="1" s="26">
      <c r="A108" s="37" t="n"/>
      <c r="B108" s="37" t="n"/>
      <c r="C108" s="37" t="n"/>
      <c r="D108" s="38" t="n"/>
      <c r="E108" s="38" t="n"/>
      <c r="F108" s="39" t="n"/>
      <c r="G108" s="39" t="n"/>
    </row>
    <row r="109" ht="15" customHeight="1" s="26">
      <c r="A109" s="37" t="n"/>
      <c r="B109" s="37" t="n"/>
      <c r="C109" s="37" t="n"/>
      <c r="D109" s="38" t="n"/>
      <c r="E109" s="38" t="n"/>
      <c r="F109" s="39" t="n"/>
      <c r="G109" s="39" t="n"/>
    </row>
    <row r="110" ht="15" customHeight="1" s="26">
      <c r="A110" s="37" t="n"/>
      <c r="B110" s="37" t="n"/>
      <c r="C110" s="37" t="n"/>
      <c r="D110" s="38" t="n"/>
      <c r="E110" s="38" t="n"/>
      <c r="F110" s="39" t="n"/>
      <c r="G110" s="39" t="n"/>
    </row>
    <row r="111" ht="15" customHeight="1" s="26">
      <c r="A111" s="37" t="n"/>
      <c r="B111" s="37" t="n"/>
      <c r="C111" s="37" t="n"/>
      <c r="D111" s="38" t="n"/>
      <c r="E111" s="38" t="n"/>
      <c r="F111" s="39" t="n"/>
      <c r="G111" s="39" t="n"/>
    </row>
    <row r="112" ht="15" customHeight="1" s="26">
      <c r="A112" s="37" t="n"/>
      <c r="B112" s="37" t="n"/>
      <c r="C112" s="37" t="n"/>
      <c r="D112" s="38" t="n"/>
      <c r="E112" s="38" t="n"/>
      <c r="F112" s="39" t="n"/>
      <c r="G112" s="39" t="n"/>
    </row>
    <row r="113" ht="15" customHeight="1" s="26">
      <c r="A113" s="37" t="n"/>
      <c r="B113" s="37" t="n"/>
      <c r="C113" s="37" t="n"/>
      <c r="D113" s="38" t="n"/>
      <c r="E113" s="38" t="n"/>
      <c r="F113" s="39" t="n"/>
      <c r="G113" s="39" t="n"/>
    </row>
    <row r="114" ht="15" customHeight="1" s="26">
      <c r="A114" s="37" t="n"/>
      <c r="B114" s="37" t="n"/>
      <c r="C114" s="37" t="n"/>
      <c r="D114" s="38" t="n"/>
      <c r="E114" s="38" t="n"/>
      <c r="F114" s="39" t="n"/>
      <c r="G114" s="39" t="n"/>
    </row>
    <row r="115" ht="15" customHeight="1" s="26">
      <c r="A115" s="37" t="n"/>
      <c r="B115" s="37" t="n"/>
      <c r="C115" s="37" t="n"/>
      <c r="D115" s="38" t="n"/>
      <c r="E115" s="38" t="n"/>
      <c r="F115" s="39" t="n"/>
      <c r="G115" s="39" t="n"/>
    </row>
    <row r="116" ht="15" customHeight="1" s="26">
      <c r="A116" s="37" t="n"/>
      <c r="B116" s="37" t="n"/>
      <c r="C116" s="37" t="n"/>
      <c r="D116" s="38" t="n"/>
      <c r="E116" s="38" t="n"/>
      <c r="F116" s="39" t="n"/>
      <c r="G116" s="39" t="n"/>
    </row>
    <row r="117" ht="15" customHeight="1" s="26">
      <c r="A117" s="37" t="n"/>
      <c r="B117" s="37" t="n"/>
      <c r="C117" s="37" t="n"/>
      <c r="D117" s="38" t="n"/>
      <c r="E117" s="38" t="n"/>
      <c r="F117" s="39" t="n"/>
      <c r="G117" s="39" t="n"/>
    </row>
    <row r="118" ht="15" customHeight="1" s="26">
      <c r="A118" s="37" t="n"/>
      <c r="B118" s="37" t="n"/>
      <c r="C118" s="37" t="n"/>
      <c r="D118" s="38" t="n"/>
      <c r="E118" s="38" t="n"/>
      <c r="F118" s="39" t="n"/>
      <c r="G118" s="39" t="n"/>
    </row>
    <row r="119" ht="15" customHeight="1" s="26">
      <c r="A119" s="37" t="n"/>
      <c r="B119" s="37" t="n"/>
      <c r="C119" s="37" t="n"/>
      <c r="D119" s="38" t="n"/>
      <c r="E119" s="38" t="n"/>
      <c r="F119" s="39" t="n"/>
      <c r="G119" s="39" t="n"/>
    </row>
    <row r="120" ht="15" customHeight="1" s="26">
      <c r="A120" s="37" t="n"/>
      <c r="B120" s="37" t="n"/>
      <c r="C120" s="37" t="n"/>
      <c r="D120" s="38" t="n"/>
      <c r="E120" s="38" t="n"/>
      <c r="F120" s="39" t="n"/>
      <c r="G120" s="39" t="n"/>
    </row>
    <row r="121" ht="15" customHeight="1" s="26">
      <c r="A121" s="37" t="n"/>
      <c r="B121" s="37" t="n"/>
      <c r="C121" s="37" t="n"/>
      <c r="D121" s="38" t="n"/>
      <c r="E121" s="38" t="n"/>
      <c r="F121" s="39" t="n"/>
      <c r="G121" s="39" t="n"/>
    </row>
    <row r="122" ht="15" customHeight="1" s="26">
      <c r="A122" s="37" t="n"/>
      <c r="B122" s="37" t="n"/>
      <c r="C122" s="37" t="n"/>
      <c r="D122" s="38" t="n"/>
      <c r="E122" s="38" t="n"/>
      <c r="F122" s="39" t="n"/>
      <c r="G122" s="39" t="n"/>
    </row>
    <row r="123" ht="15" customHeight="1" s="26">
      <c r="A123" s="37" t="n"/>
      <c r="B123" s="37" t="n"/>
      <c r="C123" s="37" t="n"/>
      <c r="D123" s="38" t="n"/>
      <c r="E123" s="38" t="n"/>
      <c r="F123" s="39" t="n"/>
      <c r="G123" s="39" t="n"/>
    </row>
    <row r="124" ht="15" customHeight="1" s="26">
      <c r="A124" s="37" t="n"/>
      <c r="B124" s="37" t="n"/>
      <c r="C124" s="37" t="n"/>
      <c r="D124" s="38" t="n"/>
      <c r="E124" s="38" t="n"/>
      <c r="F124" s="39" t="n"/>
      <c r="G124" s="39" t="n"/>
    </row>
    <row r="125" ht="15" customHeight="1" s="26">
      <c r="A125" s="37" t="n"/>
      <c r="B125" s="37" t="n"/>
      <c r="C125" s="37" t="n"/>
      <c r="D125" s="38" t="n"/>
      <c r="E125" s="38" t="n"/>
      <c r="F125" s="39" t="n"/>
      <c r="G125" s="39" t="n"/>
    </row>
    <row r="126" ht="15" customHeight="1" s="26">
      <c r="A126" s="37" t="n"/>
      <c r="B126" s="37" t="n"/>
      <c r="C126" s="37" t="n"/>
      <c r="D126" s="38" t="n"/>
      <c r="E126" s="38" t="n"/>
      <c r="F126" s="39" t="n"/>
      <c r="G126" s="39" t="n"/>
    </row>
    <row r="127" ht="15" customHeight="1" s="26">
      <c r="A127" s="37" t="n"/>
      <c r="B127" s="37" t="n"/>
      <c r="C127" s="37" t="n"/>
      <c r="D127" s="38" t="n"/>
      <c r="E127" s="38" t="n"/>
      <c r="F127" s="39" t="n"/>
      <c r="G127" s="39" t="n"/>
    </row>
    <row r="128" ht="15" customHeight="1" s="26">
      <c r="A128" s="37" t="n"/>
      <c r="B128" s="37" t="n"/>
      <c r="C128" s="37" t="n"/>
      <c r="D128" s="38" t="n"/>
      <c r="E128" s="38" t="n"/>
      <c r="F128" s="39" t="n"/>
      <c r="G128" s="39" t="n"/>
    </row>
    <row r="129" ht="15" customHeight="1" s="26">
      <c r="A129" s="37" t="n"/>
      <c r="B129" s="37" t="n"/>
      <c r="C129" s="37" t="n"/>
      <c r="D129" s="38" t="n"/>
      <c r="E129" s="38" t="n"/>
      <c r="F129" s="39" t="n"/>
      <c r="G129" s="39" t="n"/>
    </row>
    <row r="130" ht="15" customHeight="1" s="26">
      <c r="A130" s="37" t="n"/>
      <c r="B130" s="37" t="n"/>
      <c r="C130" s="37" t="n"/>
      <c r="D130" s="38" t="n"/>
      <c r="E130" s="38" t="n"/>
      <c r="F130" s="39" t="n"/>
      <c r="G130" s="39" t="n"/>
    </row>
    <row r="131" ht="15" customHeight="1" s="26">
      <c r="A131" s="37" t="n"/>
      <c r="B131" s="37" t="n"/>
      <c r="C131" s="37" t="n"/>
      <c r="D131" s="38" t="n"/>
      <c r="E131" s="38" t="n"/>
      <c r="F131" s="39" t="n"/>
      <c r="G131" s="39" t="n"/>
    </row>
    <row r="132" ht="15" customHeight="1" s="26">
      <c r="A132" s="37" t="n"/>
      <c r="B132" s="37" t="n"/>
      <c r="C132" s="37" t="n"/>
      <c r="D132" s="38" t="n"/>
      <c r="E132" s="38" t="n"/>
      <c r="F132" s="39" t="n"/>
      <c r="G132" s="39" t="n"/>
    </row>
    <row r="133" ht="15" customHeight="1" s="26">
      <c r="A133" s="37" t="n"/>
      <c r="B133" s="37" t="n"/>
      <c r="C133" s="37" t="n"/>
      <c r="D133" s="38" t="n"/>
      <c r="E133" s="38" t="n"/>
      <c r="F133" s="39" t="n"/>
      <c r="G133" s="39" t="n"/>
    </row>
    <row r="134" ht="15" customHeight="1" s="26">
      <c r="A134" s="37" t="n"/>
      <c r="B134" s="37" t="n"/>
      <c r="C134" s="37" t="n"/>
      <c r="D134" s="38" t="n"/>
      <c r="E134" s="38" t="n"/>
      <c r="F134" s="39" t="n"/>
      <c r="G134" s="39" t="n"/>
    </row>
    <row r="135" ht="15" customHeight="1" s="26">
      <c r="A135" s="37" t="n"/>
      <c r="B135" s="37" t="n"/>
      <c r="C135" s="37" t="n"/>
      <c r="D135" s="38" t="n"/>
      <c r="E135" s="38" t="n"/>
      <c r="F135" s="39" t="n"/>
      <c r="G135" s="39" t="n"/>
    </row>
    <row r="136" ht="15" customHeight="1" s="26">
      <c r="A136" s="37" t="n"/>
      <c r="B136" s="37" t="n"/>
      <c r="C136" s="37" t="n"/>
      <c r="D136" s="38" t="n"/>
      <c r="E136" s="38" t="n"/>
      <c r="F136" s="39" t="n"/>
      <c r="G136" s="39" t="n"/>
    </row>
    <row r="137" ht="15" customHeight="1" s="26">
      <c r="A137" s="37" t="n"/>
      <c r="B137" s="37" t="n"/>
      <c r="C137" s="37" t="n"/>
      <c r="D137" s="38" t="n"/>
      <c r="E137" s="38" t="n"/>
      <c r="F137" s="39" t="n"/>
      <c r="G137" s="39" t="n"/>
    </row>
    <row r="138" ht="15" customHeight="1" s="26">
      <c r="A138" s="37" t="n"/>
      <c r="B138" s="37" t="n"/>
      <c r="C138" s="37" t="n"/>
      <c r="D138" s="38" t="n"/>
      <c r="E138" s="38" t="n"/>
      <c r="F138" s="39" t="n"/>
      <c r="G138" s="39" t="n"/>
    </row>
    <row r="139" ht="15" customHeight="1" s="26">
      <c r="A139" s="37" t="n"/>
      <c r="B139" s="37" t="n"/>
      <c r="C139" s="37" t="n"/>
      <c r="D139" s="38" t="n"/>
      <c r="E139" s="38" t="n"/>
      <c r="F139" s="39" t="n"/>
      <c r="G139" s="39" t="n"/>
    </row>
    <row r="140" ht="15" customHeight="1" s="26">
      <c r="A140" s="37" t="n"/>
      <c r="B140" s="37" t="n"/>
      <c r="C140" s="37" t="n"/>
      <c r="D140" s="38" t="n"/>
      <c r="E140" s="38" t="n"/>
      <c r="F140" s="39" t="n"/>
      <c r="G140" s="39" t="n"/>
    </row>
    <row r="141" ht="15" customHeight="1" s="26">
      <c r="A141" s="37" t="n"/>
      <c r="B141" s="37" t="n"/>
      <c r="C141" s="37" t="n"/>
      <c r="D141" s="38" t="n"/>
      <c r="E141" s="38" t="n"/>
      <c r="F141" s="39" t="n"/>
      <c r="G141" s="39" t="n"/>
    </row>
    <row r="142" ht="15" customHeight="1" s="26">
      <c r="A142" s="37" t="n"/>
      <c r="B142" s="37" t="n"/>
      <c r="C142" s="37" t="n"/>
      <c r="D142" s="38" t="n"/>
      <c r="E142" s="38" t="n"/>
      <c r="F142" s="39" t="n"/>
      <c r="G142" s="39" t="n"/>
    </row>
    <row r="143" ht="15" customHeight="1" s="26">
      <c r="A143" s="37" t="n"/>
      <c r="B143" s="37" t="n"/>
      <c r="C143" s="37" t="n"/>
      <c r="D143" s="38" t="n"/>
      <c r="E143" s="38" t="n"/>
      <c r="F143" s="39" t="n"/>
      <c r="G143" s="39" t="n"/>
    </row>
    <row r="144" ht="15" customHeight="1" s="26">
      <c r="A144" s="37" t="n"/>
      <c r="B144" s="37" t="n"/>
      <c r="C144" s="37" t="n"/>
      <c r="D144" s="38" t="n"/>
      <c r="E144" s="38" t="n"/>
      <c r="F144" s="39" t="n"/>
      <c r="G144" s="39" t="n"/>
    </row>
    <row r="145" ht="15" customHeight="1" s="26">
      <c r="A145" s="37" t="n"/>
      <c r="B145" s="37" t="n"/>
      <c r="C145" s="37" t="n"/>
      <c r="D145" s="38" t="n"/>
      <c r="E145" s="38" t="n"/>
      <c r="F145" s="39" t="n"/>
      <c r="G145" s="39" t="n"/>
    </row>
    <row r="146" ht="15" customHeight="1" s="26">
      <c r="A146" s="37" t="n"/>
      <c r="B146" s="37" t="n"/>
      <c r="C146" s="37" t="n"/>
      <c r="D146" s="38" t="n"/>
      <c r="E146" s="38" t="n"/>
      <c r="F146" s="39" t="n"/>
      <c r="G146" s="39" t="n"/>
    </row>
    <row r="147" ht="15" customHeight="1" s="26">
      <c r="A147" s="37" t="n"/>
      <c r="B147" s="37" t="n"/>
      <c r="C147" s="37" t="n"/>
      <c r="D147" s="38" t="n"/>
      <c r="E147" s="38" t="n"/>
      <c r="F147" s="39" t="n"/>
      <c r="G147" s="39" t="n"/>
    </row>
    <row r="148" ht="15" customHeight="1" s="26">
      <c r="A148" s="37" t="n"/>
      <c r="B148" s="37" t="n"/>
      <c r="C148" s="37" t="n"/>
      <c r="D148" s="38" t="n"/>
      <c r="E148" s="38" t="n"/>
      <c r="F148" s="39" t="n"/>
      <c r="G148" s="39" t="n"/>
    </row>
    <row r="149" ht="15" customHeight="1" s="26">
      <c r="A149" s="37" t="n"/>
      <c r="B149" s="37" t="n"/>
      <c r="C149" s="37" t="n"/>
      <c r="D149" s="38" t="n"/>
      <c r="E149" s="38" t="n"/>
      <c r="F149" s="39" t="n"/>
      <c r="G149" s="39" t="n"/>
    </row>
    <row r="150" ht="15" customHeight="1" s="26">
      <c r="A150" s="37" t="n"/>
      <c r="B150" s="37" t="n"/>
      <c r="C150" s="37" t="n"/>
      <c r="D150" s="38" t="n"/>
      <c r="E150" s="38" t="n"/>
      <c r="F150" s="39" t="n"/>
      <c r="G150" s="39" t="n"/>
    </row>
    <row r="151" ht="15" customHeight="1" s="26">
      <c r="A151" s="37" t="n"/>
      <c r="B151" s="37" t="n"/>
      <c r="C151" s="37" t="n"/>
      <c r="D151" s="38" t="n"/>
      <c r="E151" s="38" t="n"/>
      <c r="F151" s="39" t="n"/>
      <c r="G151" s="39" t="n"/>
    </row>
    <row r="152" ht="15" customHeight="1" s="26">
      <c r="A152" s="37" t="n"/>
      <c r="B152" s="37" t="n"/>
      <c r="C152" s="37" t="n"/>
      <c r="D152" s="38" t="n"/>
      <c r="E152" s="38" t="n"/>
      <c r="F152" s="39" t="n"/>
      <c r="G152" s="39" t="n"/>
    </row>
    <row r="153" ht="15" customHeight="1" s="26">
      <c r="A153" s="37" t="n"/>
      <c r="B153" s="37" t="n"/>
      <c r="C153" s="37" t="n"/>
      <c r="D153" s="38" t="n"/>
      <c r="E153" s="38" t="n"/>
      <c r="F153" s="39" t="n"/>
      <c r="G153" s="39" t="n"/>
    </row>
    <row r="154" ht="15" customHeight="1" s="26">
      <c r="A154" s="37" t="n"/>
      <c r="B154" s="37" t="n"/>
      <c r="C154" s="37" t="n"/>
      <c r="D154" s="38" t="n"/>
      <c r="E154" s="38" t="n"/>
      <c r="F154" s="39" t="n"/>
      <c r="G154" s="39" t="n"/>
    </row>
    <row r="155" ht="15" customHeight="1" s="26">
      <c r="A155" s="37" t="n"/>
      <c r="B155" s="37" t="n"/>
      <c r="C155" s="37" t="n"/>
      <c r="D155" s="38" t="n"/>
      <c r="E155" s="38" t="n"/>
      <c r="F155" s="39" t="n"/>
      <c r="G155" s="39" t="n"/>
    </row>
    <row r="156" ht="15" customHeight="1" s="26">
      <c r="A156" s="37" t="n"/>
      <c r="B156" s="37" t="n"/>
      <c r="C156" s="37" t="n"/>
      <c r="D156" s="38" t="n"/>
      <c r="E156" s="38" t="n"/>
      <c r="F156" s="39" t="n"/>
      <c r="G156" s="39" t="n"/>
    </row>
    <row r="157" ht="15" customHeight="1" s="26">
      <c r="A157" s="37" t="n"/>
      <c r="B157" s="37" t="n"/>
      <c r="C157" s="37" t="n"/>
      <c r="D157" s="38" t="n"/>
      <c r="E157" s="38" t="n"/>
      <c r="F157" s="39" t="n"/>
      <c r="G157" s="39" t="n"/>
    </row>
    <row r="158" ht="15" customHeight="1" s="26">
      <c r="A158" s="37" t="n"/>
      <c r="B158" s="37" t="n"/>
      <c r="C158" s="37" t="n"/>
      <c r="D158" s="38" t="n"/>
      <c r="E158" s="38" t="n"/>
      <c r="F158" s="39" t="n"/>
      <c r="G158" s="39" t="n"/>
    </row>
    <row r="159" ht="15" customHeight="1" s="26">
      <c r="A159" s="37" t="n"/>
      <c r="B159" s="37" t="n"/>
      <c r="C159" s="37" t="n"/>
      <c r="D159" s="38" t="n"/>
      <c r="E159" s="38" t="n"/>
      <c r="F159" s="39" t="n"/>
      <c r="G159" s="39" t="n"/>
    </row>
    <row r="160" ht="15" customHeight="1" s="26">
      <c r="A160" s="37" t="n"/>
      <c r="B160" s="37" t="n"/>
      <c r="C160" s="37" t="n"/>
      <c r="D160" s="38" t="n"/>
      <c r="E160" s="38" t="n"/>
      <c r="F160" s="39" t="n"/>
      <c r="G160" s="39" t="n"/>
    </row>
    <row r="161" ht="15" customHeight="1" s="26">
      <c r="A161" s="37" t="n"/>
      <c r="B161" s="37" t="n"/>
      <c r="C161" s="37" t="n"/>
      <c r="D161" s="38" t="n"/>
      <c r="E161" s="38" t="n"/>
      <c r="F161" s="39" t="n"/>
      <c r="G161" s="39" t="n"/>
    </row>
    <row r="162" ht="15" customHeight="1" s="26">
      <c r="A162" s="37" t="n"/>
      <c r="B162" s="37" t="n"/>
      <c r="C162" s="37" t="n"/>
      <c r="D162" s="38" t="n"/>
      <c r="E162" s="38" t="n"/>
      <c r="F162" s="39" t="n"/>
      <c r="G162" s="39" t="n"/>
    </row>
    <row r="163" ht="15" customHeight="1" s="26">
      <c r="A163" s="37" t="n"/>
      <c r="B163" s="37" t="n"/>
      <c r="C163" s="37" t="n"/>
      <c r="D163" s="38" t="n"/>
      <c r="E163" s="38" t="n"/>
      <c r="F163" s="39" t="n"/>
      <c r="G163" s="39" t="n"/>
    </row>
    <row r="164" ht="15" customHeight="1" s="26">
      <c r="A164" s="37" t="n"/>
      <c r="B164" s="37" t="n"/>
      <c r="C164" s="37" t="n"/>
      <c r="D164" s="38" t="n"/>
      <c r="E164" s="38" t="n"/>
      <c r="F164" s="39" t="n"/>
      <c r="G164" s="39" t="n"/>
    </row>
    <row r="165" ht="15" customHeight="1" s="26">
      <c r="A165" s="37" t="n"/>
      <c r="B165" s="37" t="n"/>
      <c r="C165" s="37" t="n"/>
      <c r="D165" s="38" t="n"/>
      <c r="E165" s="38" t="n"/>
      <c r="F165" s="39" t="n"/>
      <c r="G165" s="39" t="n"/>
    </row>
    <row r="166" ht="15" customHeight="1" s="26">
      <c r="A166" s="37" t="n"/>
      <c r="B166" s="37" t="n"/>
      <c r="C166" s="37" t="n"/>
      <c r="D166" s="38" t="n"/>
      <c r="E166" s="38" t="n"/>
      <c r="F166" s="39" t="n"/>
      <c r="G166" s="39" t="n"/>
    </row>
    <row r="167" ht="15" customHeight="1" s="26">
      <c r="A167" s="37" t="n"/>
      <c r="B167" s="37" t="n"/>
      <c r="C167" s="37" t="n"/>
      <c r="D167" s="38" t="n"/>
      <c r="E167" s="38" t="n"/>
      <c r="F167" s="39" t="n"/>
      <c r="G167" s="39" t="n"/>
    </row>
    <row r="168" ht="15" customHeight="1" s="26">
      <c r="A168" s="37" t="n"/>
      <c r="B168" s="37" t="n"/>
      <c r="C168" s="37" t="n"/>
      <c r="D168" s="38" t="n"/>
      <c r="E168" s="38" t="n"/>
      <c r="F168" s="39" t="n"/>
      <c r="G168" s="39" t="n"/>
    </row>
    <row r="169" ht="15" customHeight="1" s="26">
      <c r="A169" s="37" t="n"/>
      <c r="B169" s="37" t="n"/>
      <c r="C169" s="37" t="n"/>
      <c r="D169" s="38" t="n"/>
      <c r="E169" s="38" t="n"/>
      <c r="F169" s="39" t="n"/>
      <c r="G169" s="39" t="n"/>
    </row>
    <row r="170" ht="15" customHeight="1" s="26">
      <c r="A170" s="37" t="n"/>
      <c r="B170" s="37" t="n"/>
      <c r="C170" s="37" t="n"/>
      <c r="D170" s="38" t="n"/>
      <c r="E170" s="38" t="n"/>
      <c r="F170" s="39" t="n"/>
      <c r="G170" s="39" t="n"/>
    </row>
    <row r="171" ht="15" customHeight="1" s="26">
      <c r="A171" s="37" t="n"/>
      <c r="B171" s="37" t="n"/>
      <c r="C171" s="37" t="n"/>
      <c r="D171" s="38" t="n"/>
      <c r="E171" s="38" t="n"/>
      <c r="F171" s="39" t="n"/>
      <c r="G171" s="39" t="n"/>
    </row>
    <row r="172" ht="15" customHeight="1" s="26">
      <c r="A172" s="37" t="n"/>
      <c r="B172" s="37" t="n"/>
      <c r="C172" s="37" t="n"/>
      <c r="D172" s="38" t="n"/>
      <c r="E172" s="38" t="n"/>
      <c r="F172" s="39" t="n"/>
      <c r="G172" s="39" t="n"/>
    </row>
    <row r="173" ht="15" customHeight="1" s="26">
      <c r="A173" s="37" t="n"/>
      <c r="B173" s="37" t="n"/>
      <c r="C173" s="37" t="n"/>
      <c r="D173" s="38" t="n"/>
      <c r="E173" s="38" t="n"/>
      <c r="F173" s="39" t="n"/>
      <c r="G173" s="39" t="n"/>
    </row>
    <row r="174" ht="15" customHeight="1" s="26">
      <c r="A174" s="37" t="n"/>
      <c r="B174" s="37" t="n"/>
      <c r="C174" s="37" t="n"/>
      <c r="D174" s="38" t="n"/>
      <c r="E174" s="38" t="n"/>
      <c r="F174" s="39" t="n"/>
      <c r="G174" s="39" t="n"/>
    </row>
    <row r="175" ht="15" customHeight="1" s="26">
      <c r="A175" s="37" t="n"/>
      <c r="B175" s="37" t="n"/>
      <c r="C175" s="37" t="n"/>
      <c r="D175" s="38" t="n"/>
      <c r="E175" s="38" t="n"/>
      <c r="F175" s="39" t="n"/>
      <c r="G175" s="39" t="n"/>
    </row>
    <row r="176" ht="15" customHeight="1" s="26">
      <c r="A176" s="37" t="n"/>
      <c r="B176" s="37" t="n"/>
      <c r="C176" s="37" t="n"/>
      <c r="D176" s="38" t="n"/>
      <c r="E176" s="38" t="n"/>
      <c r="F176" s="39" t="n"/>
      <c r="G176" s="39" t="n"/>
    </row>
    <row r="177" ht="15" customHeight="1" s="26">
      <c r="A177" s="37" t="n"/>
      <c r="B177" s="37" t="n"/>
      <c r="C177" s="37" t="n"/>
      <c r="D177" s="38" t="n"/>
      <c r="E177" s="38" t="n"/>
      <c r="F177" s="39" t="n"/>
      <c r="G177" s="39" t="n"/>
    </row>
    <row r="178" ht="15" customHeight="1" s="26">
      <c r="A178" s="37" t="n"/>
      <c r="B178" s="37" t="n"/>
      <c r="C178" s="37" t="n"/>
      <c r="D178" s="38" t="n"/>
      <c r="E178" s="38" t="n"/>
      <c r="F178" s="39" t="n"/>
      <c r="G178" s="39" t="n"/>
    </row>
    <row r="179" ht="15" customHeight="1" s="26">
      <c r="A179" s="37" t="n"/>
      <c r="B179" s="37" t="n"/>
      <c r="C179" s="37" t="n"/>
      <c r="D179" s="38" t="n"/>
      <c r="E179" s="38" t="n"/>
      <c r="F179" s="39" t="n"/>
      <c r="G179" s="39" t="n"/>
    </row>
    <row r="180" ht="15" customHeight="1" s="26">
      <c r="A180" s="37" t="n"/>
      <c r="B180" s="37" t="n"/>
      <c r="C180" s="37" t="n"/>
      <c r="D180" s="38" t="n"/>
      <c r="E180" s="38" t="n"/>
      <c r="F180" s="39" t="n"/>
      <c r="G180" s="39" t="n"/>
    </row>
    <row r="181" ht="15" customHeight="1" s="26">
      <c r="A181" s="37" t="n"/>
      <c r="B181" s="37" t="n"/>
      <c r="C181" s="37" t="n"/>
      <c r="D181" s="38" t="n"/>
      <c r="E181" s="38" t="n"/>
      <c r="F181" s="39" t="n"/>
      <c r="G181" s="39" t="n"/>
    </row>
    <row r="182" ht="15" customHeight="1" s="26">
      <c r="A182" s="37" t="n"/>
      <c r="B182" s="37" t="n"/>
      <c r="C182" s="37" t="n"/>
      <c r="D182" s="38" t="n"/>
      <c r="E182" s="38" t="n"/>
      <c r="F182" s="39" t="n"/>
      <c r="G182" s="39" t="n"/>
    </row>
    <row r="183" ht="15" customHeight="1" s="26">
      <c r="A183" s="37" t="n"/>
      <c r="B183" s="37" t="n"/>
      <c r="C183" s="37" t="n"/>
      <c r="D183" s="38" t="n"/>
      <c r="E183" s="38" t="n"/>
      <c r="F183" s="39" t="n"/>
      <c r="G183" s="39" t="n"/>
    </row>
    <row r="184" ht="15" customHeight="1" s="26">
      <c r="A184" s="37" t="n"/>
      <c r="B184" s="37" t="n"/>
      <c r="C184" s="37" t="n"/>
      <c r="D184" s="38" t="n"/>
      <c r="E184" s="38" t="n"/>
      <c r="F184" s="39" t="n"/>
      <c r="G184" s="39" t="n"/>
    </row>
    <row r="185" ht="15" customHeight="1" s="26">
      <c r="A185" s="37" t="n"/>
      <c r="B185" s="37" t="n"/>
      <c r="C185" s="37" t="n"/>
      <c r="D185" s="38" t="n"/>
      <c r="E185" s="38" t="n"/>
      <c r="F185" s="39" t="n"/>
      <c r="G185" s="39" t="n"/>
    </row>
    <row r="186" ht="15" customHeight="1" s="26">
      <c r="A186" s="37" t="n"/>
      <c r="B186" s="37" t="n"/>
      <c r="C186" s="37" t="n"/>
      <c r="D186" s="38" t="n"/>
      <c r="E186" s="38" t="n"/>
      <c r="F186" s="39" t="n"/>
      <c r="G186" s="39" t="n"/>
    </row>
    <row r="187" ht="15" customHeight="1" s="26">
      <c r="A187" s="37" t="n"/>
      <c r="B187" s="37" t="n"/>
      <c r="C187" s="37" t="n"/>
      <c r="D187" s="38" t="n"/>
      <c r="E187" s="38" t="n"/>
      <c r="F187" s="39" t="n"/>
      <c r="G187" s="39" t="n"/>
    </row>
    <row r="188" ht="15" customHeight="1" s="26">
      <c r="A188" s="37" t="n"/>
      <c r="B188" s="37" t="n"/>
      <c r="C188" s="37" t="n"/>
      <c r="D188" s="38" t="n"/>
      <c r="E188" s="38" t="n"/>
      <c r="F188" s="39" t="n"/>
      <c r="G188" s="39" t="n"/>
    </row>
    <row r="189" ht="15" customHeight="1" s="26">
      <c r="A189" s="37" t="n"/>
      <c r="B189" s="37" t="n"/>
      <c r="C189" s="37" t="n"/>
      <c r="D189" s="38" t="n"/>
      <c r="E189" s="38" t="n"/>
      <c r="F189" s="39" t="n"/>
      <c r="G189" s="39" t="n"/>
    </row>
    <row r="190" ht="15" customHeight="1" s="26">
      <c r="A190" s="37" t="n"/>
      <c r="B190" s="37" t="n"/>
      <c r="C190" s="37" t="n"/>
      <c r="D190" s="38" t="n"/>
      <c r="E190" s="38" t="n"/>
      <c r="F190" s="39" t="n"/>
      <c r="G190" s="39" t="n"/>
    </row>
    <row r="191" ht="15" customHeight="1" s="26">
      <c r="A191" s="37" t="n"/>
      <c r="B191" s="37" t="n"/>
      <c r="C191" s="37" t="n"/>
      <c r="D191" s="38" t="n"/>
      <c r="E191" s="38" t="n"/>
      <c r="F191" s="39" t="n"/>
      <c r="G191" s="39" t="n"/>
    </row>
    <row r="192" ht="15" customHeight="1" s="26">
      <c r="A192" s="37" t="n"/>
      <c r="B192" s="37" t="n"/>
      <c r="C192" s="37" t="n"/>
      <c r="D192" s="38" t="n"/>
      <c r="E192" s="38" t="n"/>
      <c r="F192" s="39" t="n"/>
      <c r="G192" s="39" t="n"/>
    </row>
    <row r="193" ht="15" customHeight="1" s="26">
      <c r="A193" s="37" t="n"/>
      <c r="B193" s="37" t="n"/>
      <c r="C193" s="37" t="n"/>
      <c r="D193" s="38" t="n"/>
      <c r="E193" s="38" t="n"/>
      <c r="F193" s="39" t="n"/>
      <c r="G193" s="39" t="n"/>
    </row>
    <row r="194" ht="15" customHeight="1" s="26">
      <c r="A194" s="37" t="n"/>
      <c r="B194" s="37" t="n"/>
      <c r="C194" s="37" t="n"/>
      <c r="D194" s="38" t="n"/>
      <c r="E194" s="38" t="n"/>
      <c r="F194" s="39" t="n"/>
      <c r="G194" s="39" t="n"/>
    </row>
    <row r="195" ht="15" customHeight="1" s="26">
      <c r="A195" s="37" t="n"/>
      <c r="B195" s="37" t="n"/>
      <c r="C195" s="37" t="n"/>
      <c r="D195" s="38" t="n"/>
      <c r="E195" s="38" t="n"/>
      <c r="F195" s="39" t="n"/>
      <c r="G195" s="39" t="n"/>
    </row>
    <row r="196" ht="15" customHeight="1" s="26">
      <c r="A196" s="37" t="n"/>
      <c r="B196" s="37" t="n"/>
      <c r="C196" s="37" t="n"/>
      <c r="D196" s="38" t="n"/>
      <c r="E196" s="38" t="n"/>
      <c r="F196" s="39" t="n"/>
      <c r="G196" s="39" t="n"/>
    </row>
    <row r="197" ht="15" customHeight="1" s="26">
      <c r="A197" s="37" t="n"/>
      <c r="B197" s="37" t="n"/>
      <c r="C197" s="37" t="n"/>
      <c r="D197" s="38" t="n"/>
      <c r="E197" s="38" t="n"/>
      <c r="F197" s="39" t="n"/>
      <c r="G197" s="39" t="n"/>
    </row>
    <row r="198" ht="15" customHeight="1" s="26">
      <c r="A198" s="37" t="n"/>
      <c r="B198" s="37" t="n"/>
      <c r="C198" s="37" t="n"/>
      <c r="D198" s="38" t="n"/>
      <c r="E198" s="38" t="n"/>
      <c r="F198" s="39" t="n"/>
      <c r="G198" s="39" t="n"/>
    </row>
    <row r="199" ht="15" customHeight="1" s="26">
      <c r="A199" s="37" t="n"/>
      <c r="B199" s="37" t="n"/>
      <c r="C199" s="37" t="n"/>
      <c r="D199" s="38" t="n"/>
      <c r="E199" s="38" t="n"/>
      <c r="F199" s="39" t="n"/>
      <c r="G199" s="39" t="n"/>
    </row>
    <row r="200" ht="15" customHeight="1" s="26">
      <c r="A200" s="37" t="n"/>
      <c r="B200" s="37" t="n"/>
      <c r="C200" s="37" t="n"/>
      <c r="D200" s="38" t="n"/>
      <c r="E200" s="38" t="n"/>
      <c r="F200" s="39" t="n"/>
      <c r="G200" s="39" t="n"/>
    </row>
    <row r="201" ht="15" customHeight="1" s="26">
      <c r="A201" s="37" t="n"/>
      <c r="B201" s="37" t="n"/>
      <c r="C201" s="37" t="n"/>
      <c r="D201" s="38" t="n"/>
      <c r="E201" s="38" t="n"/>
      <c r="F201" s="39" t="n"/>
      <c r="G201" s="39" t="n"/>
    </row>
    <row r="202" ht="15" customHeight="1" s="26">
      <c r="A202" s="37" t="n"/>
      <c r="B202" s="37" t="n"/>
      <c r="C202" s="37" t="n"/>
      <c r="D202" s="38" t="n"/>
      <c r="E202" s="38" t="n"/>
      <c r="F202" s="39" t="n"/>
      <c r="G202" s="39" t="n"/>
    </row>
    <row r="203" ht="15" customHeight="1" s="26">
      <c r="A203" s="37" t="n"/>
      <c r="B203" s="37" t="n"/>
      <c r="C203" s="37" t="n"/>
      <c r="D203" s="38" t="n"/>
      <c r="E203" s="38" t="n"/>
      <c r="F203" s="39" t="n"/>
      <c r="G203" s="39" t="n"/>
    </row>
    <row r="204" ht="15" customHeight="1" s="26">
      <c r="A204" s="37" t="n"/>
      <c r="B204" s="37" t="n"/>
      <c r="C204" s="37" t="n"/>
      <c r="D204" s="38" t="n"/>
      <c r="E204" s="38" t="n"/>
      <c r="F204" s="39" t="n"/>
      <c r="G204" s="39" t="n"/>
    </row>
    <row r="205" ht="15" customHeight="1" s="26">
      <c r="A205" s="37" t="n"/>
      <c r="B205" s="37" t="n"/>
      <c r="C205" s="37" t="n"/>
      <c r="D205" s="38" t="n"/>
      <c r="E205" s="38" t="n"/>
      <c r="F205" s="39" t="n"/>
      <c r="G205" s="39" t="n"/>
    </row>
    <row r="206" ht="15" customHeight="1" s="26">
      <c r="A206" s="37" t="n"/>
      <c r="B206" s="37" t="n"/>
      <c r="C206" s="37" t="n"/>
      <c r="D206" s="38" t="n"/>
      <c r="E206" s="38" t="n"/>
      <c r="F206" s="39" t="n"/>
      <c r="G206" s="39" t="n"/>
    </row>
    <row r="207" ht="15" customHeight="1" s="26">
      <c r="A207" s="37" t="n"/>
      <c r="B207" s="37" t="n"/>
      <c r="C207" s="37" t="n"/>
      <c r="D207" s="38" t="n"/>
      <c r="E207" s="38" t="n"/>
      <c r="F207" s="39" t="n"/>
      <c r="G207" s="39" t="n"/>
    </row>
    <row r="208" ht="15" customHeight="1" s="26">
      <c r="A208" s="37" t="n"/>
      <c r="B208" s="37" t="n"/>
      <c r="C208" s="37" t="n"/>
      <c r="D208" s="38" t="n"/>
      <c r="E208" s="38" t="n"/>
      <c r="F208" s="39" t="n"/>
      <c r="G208" s="39" t="n"/>
    </row>
    <row r="209" ht="15" customHeight="1" s="26">
      <c r="A209" s="37" t="n"/>
      <c r="B209" s="37" t="n"/>
      <c r="C209" s="37" t="n"/>
      <c r="D209" s="38" t="n"/>
      <c r="E209" s="38" t="n"/>
      <c r="F209" s="39" t="n"/>
      <c r="G209" s="39" t="n"/>
    </row>
    <row r="210" ht="15" customHeight="1" s="26">
      <c r="A210" s="37" t="n"/>
      <c r="B210" s="37" t="n"/>
      <c r="C210" s="37" t="n"/>
      <c r="D210" s="38" t="n"/>
      <c r="E210" s="38" t="n"/>
      <c r="F210" s="39" t="n"/>
      <c r="G210" s="39" t="n"/>
    </row>
    <row r="211" ht="15" customHeight="1" s="26">
      <c r="A211" s="37" t="n"/>
      <c r="B211" s="37" t="n"/>
      <c r="C211" s="37" t="n"/>
      <c r="D211" s="38" t="n"/>
      <c r="E211" s="38" t="n"/>
      <c r="F211" s="39" t="n"/>
      <c r="G211" s="39" t="n"/>
    </row>
    <row r="212" ht="15" customHeight="1" s="26">
      <c r="A212" s="37" t="n"/>
      <c r="B212" s="37" t="n"/>
      <c r="C212" s="37" t="n"/>
      <c r="D212" s="38" t="n"/>
      <c r="E212" s="38" t="n"/>
      <c r="F212" s="39" t="n"/>
      <c r="G212" s="39" t="n"/>
    </row>
    <row r="213" ht="15" customHeight="1" s="26">
      <c r="A213" s="37" t="n"/>
      <c r="B213" s="37" t="n"/>
      <c r="C213" s="37" t="n"/>
      <c r="D213" s="38" t="n"/>
      <c r="E213" s="38" t="n"/>
      <c r="F213" s="39" t="n"/>
      <c r="G213" s="39" t="n"/>
    </row>
    <row r="214" ht="15" customHeight="1" s="26">
      <c r="A214" s="37" t="n"/>
      <c r="B214" s="37" t="n"/>
      <c r="C214" s="37" t="n"/>
      <c r="D214" s="38" t="n"/>
      <c r="E214" s="38" t="n"/>
      <c r="F214" s="39" t="n"/>
      <c r="G214" s="39" t="n"/>
    </row>
    <row r="215" ht="15" customHeight="1" s="26">
      <c r="A215" s="37" t="n"/>
      <c r="B215" s="37" t="n"/>
      <c r="C215" s="37" t="n"/>
      <c r="D215" s="38" t="n"/>
      <c r="E215" s="38" t="n"/>
      <c r="F215" s="39" t="n"/>
      <c r="G215" s="39" t="n"/>
    </row>
    <row r="216" ht="15" customHeight="1" s="26">
      <c r="A216" s="37" t="n"/>
      <c r="B216" s="37" t="n"/>
      <c r="C216" s="37" t="n"/>
      <c r="D216" s="38" t="n"/>
      <c r="E216" s="38" t="n"/>
      <c r="F216" s="39" t="n"/>
      <c r="G216" s="39" t="n"/>
    </row>
    <row r="217" ht="15" customHeight="1" s="26">
      <c r="A217" s="37" t="n"/>
      <c r="B217" s="37" t="n"/>
      <c r="C217" s="37" t="n"/>
      <c r="D217" s="38" t="n"/>
      <c r="E217" s="38" t="n"/>
      <c r="F217" s="39" t="n"/>
      <c r="G217" s="39" t="n"/>
    </row>
    <row r="218" ht="15" customHeight="1" s="26">
      <c r="A218" s="37" t="n"/>
      <c r="B218" s="37" t="n"/>
      <c r="C218" s="37" t="n"/>
      <c r="D218" s="38" t="n"/>
      <c r="E218" s="38" t="n"/>
      <c r="F218" s="39" t="n"/>
      <c r="G218" s="39" t="n"/>
    </row>
    <row r="219" ht="15" customHeight="1" s="26">
      <c r="A219" s="37" t="n"/>
      <c r="B219" s="37" t="n"/>
      <c r="C219" s="37" t="n"/>
      <c r="D219" s="38" t="n"/>
      <c r="E219" s="38" t="n"/>
      <c r="F219" s="39" t="n"/>
      <c r="G219" s="39" t="n"/>
    </row>
    <row r="220" ht="15" customHeight="1" s="26">
      <c r="A220" s="37" t="n"/>
      <c r="B220" s="37" t="n"/>
      <c r="C220" s="37" t="n"/>
      <c r="D220" s="38" t="n"/>
      <c r="E220" s="38" t="n"/>
      <c r="F220" s="39" t="n"/>
      <c r="G220" s="39" t="n"/>
    </row>
    <row r="221" ht="15" customHeight="1" s="26">
      <c r="A221" s="37" t="n"/>
      <c r="B221" s="37" t="n"/>
      <c r="C221" s="37" t="n"/>
      <c r="D221" s="38" t="n"/>
      <c r="E221" s="38" t="n"/>
      <c r="F221" s="39" t="n"/>
      <c r="G221" s="39" t="n"/>
    </row>
    <row r="222" ht="15" customHeight="1" s="26">
      <c r="A222" s="37" t="n"/>
      <c r="B222" s="37" t="n"/>
      <c r="C222" s="37" t="n"/>
      <c r="D222" s="38" t="n"/>
      <c r="E222" s="38" t="n"/>
      <c r="F222" s="39" t="n"/>
      <c r="G222" s="39" t="n"/>
    </row>
    <row r="223" ht="15" customHeight="1" s="26">
      <c r="A223" s="37" t="n"/>
      <c r="B223" s="37" t="n"/>
      <c r="C223" s="37" t="n"/>
      <c r="D223" s="38" t="n"/>
      <c r="E223" s="38" t="n"/>
      <c r="F223" s="39" t="n"/>
      <c r="G223" s="39" t="n"/>
    </row>
    <row r="224" ht="15" customHeight="1" s="26">
      <c r="A224" s="37" t="n"/>
      <c r="B224" s="37" t="n"/>
      <c r="C224" s="37" t="n"/>
      <c r="D224" s="38" t="n"/>
      <c r="E224" s="38" t="n"/>
      <c r="F224" s="39" t="n"/>
      <c r="G224" s="39" t="n"/>
    </row>
    <row r="225" ht="15" customHeight="1" s="26">
      <c r="A225" s="37" t="n"/>
      <c r="B225" s="37" t="n"/>
      <c r="C225" s="37" t="n"/>
      <c r="D225" s="38" t="n"/>
      <c r="E225" s="38" t="n"/>
      <c r="F225" s="39" t="n"/>
      <c r="G225" s="39" t="n"/>
    </row>
    <row r="226" ht="15" customHeight="1" s="26">
      <c r="A226" s="37" t="n"/>
      <c r="B226" s="37" t="n"/>
      <c r="C226" s="37" t="n"/>
      <c r="D226" s="38" t="n"/>
      <c r="E226" s="38" t="n"/>
      <c r="F226" s="39" t="n"/>
      <c r="G226" s="39" t="n"/>
    </row>
    <row r="227" ht="15" customHeight="1" s="26">
      <c r="A227" s="37" t="n"/>
      <c r="B227" s="37" t="n"/>
      <c r="C227" s="37" t="n"/>
      <c r="D227" s="38" t="n"/>
      <c r="E227" s="38" t="n"/>
      <c r="F227" s="39" t="n"/>
      <c r="G227" s="39" t="n"/>
    </row>
    <row r="228" ht="15" customHeight="1" s="26">
      <c r="A228" s="37" t="n"/>
      <c r="B228" s="37" t="n"/>
      <c r="C228" s="37" t="n"/>
      <c r="D228" s="38" t="n"/>
      <c r="E228" s="38" t="n"/>
      <c r="F228" s="39" t="n"/>
      <c r="G228" s="39" t="n"/>
    </row>
    <row r="229" ht="15" customHeight="1" s="26">
      <c r="A229" s="37" t="n"/>
      <c r="B229" s="37" t="n"/>
      <c r="C229" s="37" t="n"/>
      <c r="D229" s="38" t="n"/>
      <c r="E229" s="38" t="n"/>
      <c r="F229" s="39" t="n"/>
      <c r="G229" s="39" t="n"/>
    </row>
    <row r="230" ht="15" customHeight="1" s="26">
      <c r="A230" s="37" t="n"/>
      <c r="B230" s="37" t="n"/>
      <c r="C230" s="37" t="n"/>
      <c r="D230" s="38" t="n"/>
      <c r="E230" s="38" t="n"/>
      <c r="F230" s="39" t="n"/>
      <c r="G230" s="39" t="n"/>
    </row>
    <row r="231" ht="15" customHeight="1" s="26">
      <c r="A231" s="37" t="n"/>
      <c r="B231" s="37" t="n"/>
      <c r="C231" s="37" t="n"/>
      <c r="D231" s="38" t="n"/>
      <c r="E231" s="38" t="n"/>
      <c r="F231" s="39" t="n"/>
      <c r="G231" s="39" t="n"/>
    </row>
    <row r="232" ht="15" customHeight="1" s="26">
      <c r="A232" s="37" t="n"/>
      <c r="B232" s="37" t="n"/>
      <c r="C232" s="37" t="n"/>
      <c r="D232" s="38" t="n"/>
      <c r="E232" s="38" t="n"/>
      <c r="F232" s="39" t="n"/>
      <c r="G232" s="39" t="n"/>
    </row>
    <row r="233" ht="15" customHeight="1" s="26">
      <c r="A233" s="37" t="n"/>
      <c r="B233" s="37" t="n"/>
      <c r="C233" s="37" t="n"/>
      <c r="D233" s="38" t="n"/>
      <c r="E233" s="38" t="n"/>
      <c r="F233" s="39" t="n"/>
      <c r="G233" s="39" t="n"/>
    </row>
    <row r="234" ht="15" customHeight="1" s="26">
      <c r="A234" s="37" t="n"/>
      <c r="B234" s="37" t="n"/>
      <c r="C234" s="37" t="n"/>
      <c r="D234" s="38" t="n"/>
      <c r="E234" s="38" t="n"/>
      <c r="F234" s="39" t="n"/>
      <c r="G234" s="39" t="n"/>
    </row>
    <row r="235" ht="15" customHeight="1" s="26">
      <c r="A235" s="37" t="n"/>
      <c r="B235" s="37" t="n"/>
      <c r="C235" s="37" t="n"/>
      <c r="D235" s="38" t="n"/>
      <c r="E235" s="38" t="n"/>
      <c r="F235" s="39" t="n"/>
      <c r="G235" s="39" t="n"/>
    </row>
    <row r="236" ht="15" customHeight="1" s="26">
      <c r="A236" s="37" t="n"/>
      <c r="B236" s="37" t="n"/>
      <c r="C236" s="37" t="n"/>
      <c r="D236" s="38" t="n"/>
      <c r="E236" s="38" t="n"/>
      <c r="F236" s="39" t="n"/>
      <c r="G236" s="39" t="n"/>
    </row>
    <row r="237" ht="15" customHeight="1" s="26">
      <c r="A237" s="37" t="n"/>
      <c r="B237" s="37" t="n"/>
      <c r="C237" s="37" t="n"/>
      <c r="D237" s="38" t="n"/>
      <c r="E237" s="38" t="n"/>
      <c r="F237" s="39" t="n"/>
      <c r="G237" s="39" t="n"/>
    </row>
    <row r="238" ht="15" customHeight="1" s="26">
      <c r="A238" s="37" t="n"/>
      <c r="B238" s="37" t="n"/>
      <c r="C238" s="37" t="n"/>
      <c r="D238" s="38" t="n"/>
      <c r="E238" s="38" t="n"/>
      <c r="F238" s="39" t="n"/>
      <c r="G238" s="39" t="n"/>
    </row>
    <row r="239" ht="15" customHeight="1" s="26">
      <c r="A239" s="37" t="n"/>
      <c r="B239" s="37" t="n"/>
      <c r="C239" s="37" t="n"/>
      <c r="D239" s="38" t="n"/>
      <c r="E239" s="38" t="n"/>
      <c r="F239" s="39" t="n"/>
      <c r="G239" s="39" t="n"/>
    </row>
    <row r="240" ht="15" customHeight="1" s="26">
      <c r="A240" s="37" t="n"/>
      <c r="B240" s="37" t="n"/>
      <c r="C240" s="37" t="n"/>
      <c r="D240" s="38" t="n"/>
      <c r="E240" s="38" t="n"/>
      <c r="F240" s="39" t="n"/>
      <c r="G240" s="39" t="n"/>
    </row>
    <row r="241" ht="15" customHeight="1" s="26">
      <c r="A241" s="37" t="n"/>
      <c r="B241" s="37" t="n"/>
      <c r="C241" s="37" t="n"/>
      <c r="D241" s="38" t="n"/>
      <c r="E241" s="38" t="n"/>
      <c r="F241" s="39" t="n"/>
      <c r="G241" s="39" t="n"/>
    </row>
    <row r="242" ht="15" customHeight="1" s="26">
      <c r="A242" s="37" t="n"/>
      <c r="B242" s="37" t="n"/>
      <c r="C242" s="37" t="n"/>
      <c r="D242" s="38" t="n"/>
      <c r="E242" s="38" t="n"/>
      <c r="F242" s="39" t="n"/>
      <c r="G242" s="39" t="n"/>
    </row>
    <row r="243" ht="15" customHeight="1" s="26">
      <c r="A243" s="37" t="n"/>
      <c r="B243" s="37" t="n"/>
      <c r="C243" s="37" t="n"/>
      <c r="D243" s="38" t="n"/>
      <c r="E243" s="38" t="n"/>
      <c r="F243" s="39" t="n"/>
      <c r="G243" s="39" t="n"/>
    </row>
    <row r="244" ht="15" customHeight="1" s="26">
      <c r="A244" s="37" t="n"/>
      <c r="B244" s="37" t="n"/>
      <c r="C244" s="37" t="n"/>
      <c r="D244" s="38" t="n"/>
      <c r="E244" s="38" t="n"/>
      <c r="F244" s="39" t="n"/>
      <c r="G244" s="39" t="n"/>
    </row>
    <row r="245" ht="15" customHeight="1" s="26">
      <c r="A245" s="37" t="n"/>
      <c r="B245" s="37" t="n"/>
      <c r="C245" s="37" t="n"/>
      <c r="D245" s="38" t="n"/>
      <c r="E245" s="38" t="n"/>
      <c r="F245" s="39" t="n"/>
      <c r="G245" s="39" t="n"/>
    </row>
    <row r="246" ht="15" customHeight="1" s="26">
      <c r="A246" s="37" t="n"/>
      <c r="B246" s="37" t="n"/>
      <c r="C246" s="37" t="n"/>
      <c r="D246" s="38" t="n"/>
      <c r="E246" s="38" t="n"/>
      <c r="F246" s="39" t="n"/>
      <c r="G246" s="39" t="n"/>
    </row>
    <row r="247" ht="15" customHeight="1" s="26">
      <c r="A247" s="37" t="n"/>
      <c r="B247" s="37" t="n"/>
      <c r="C247" s="37" t="n"/>
      <c r="D247" s="38" t="n"/>
      <c r="E247" s="38" t="n"/>
      <c r="F247" s="39" t="n"/>
      <c r="G247" s="39" t="n"/>
    </row>
    <row r="248" ht="15" customHeight="1" s="26">
      <c r="A248" s="37" t="n"/>
      <c r="B248" s="37" t="n"/>
      <c r="C248" s="37" t="n"/>
      <c r="D248" s="38" t="n"/>
      <c r="E248" s="38" t="n"/>
      <c r="F248" s="39" t="n"/>
      <c r="G248" s="39" t="n"/>
    </row>
    <row r="249" ht="15" customHeight="1" s="26">
      <c r="A249" s="37" t="n"/>
      <c r="B249" s="37" t="n"/>
      <c r="C249" s="37" t="n"/>
      <c r="D249" s="38" t="n"/>
      <c r="E249" s="38" t="n"/>
      <c r="F249" s="39" t="n"/>
      <c r="G249" s="39" t="n"/>
    </row>
    <row r="250" ht="15" customHeight="1" s="26">
      <c r="A250" s="37" t="n"/>
      <c r="B250" s="37" t="n"/>
      <c r="C250" s="37" t="n"/>
      <c r="D250" s="38" t="n"/>
      <c r="E250" s="38" t="n"/>
      <c r="F250" s="39" t="n"/>
      <c r="G250" s="39" t="n"/>
    </row>
    <row r="251" ht="15" customHeight="1" s="26">
      <c r="A251" s="37" t="n"/>
      <c r="B251" s="37" t="n"/>
      <c r="C251" s="37" t="n"/>
      <c r="D251" s="38" t="n"/>
      <c r="E251" s="38" t="n"/>
      <c r="F251" s="39" t="n"/>
      <c r="G251" s="39" t="n"/>
    </row>
    <row r="252" ht="15" customHeight="1" s="26">
      <c r="A252" s="37" t="n"/>
      <c r="B252" s="37" t="n"/>
      <c r="C252" s="37" t="n"/>
      <c r="D252" s="38" t="n"/>
      <c r="E252" s="38" t="n"/>
      <c r="F252" s="39" t="n"/>
      <c r="G252" s="39" t="n"/>
    </row>
    <row r="253" ht="15" customHeight="1" s="26">
      <c r="A253" s="37" t="n"/>
      <c r="B253" s="37" t="n"/>
      <c r="C253" s="37" t="n"/>
      <c r="D253" s="38" t="n"/>
      <c r="E253" s="38" t="n"/>
      <c r="F253" s="39" t="n"/>
      <c r="G253" s="39" t="n"/>
    </row>
    <row r="254" ht="15" customHeight="1" s="26">
      <c r="A254" s="37" t="n"/>
      <c r="B254" s="37" t="n"/>
      <c r="C254" s="37" t="n"/>
      <c r="D254" s="38" t="n"/>
      <c r="E254" s="38" t="n"/>
      <c r="F254" s="39" t="n"/>
      <c r="G254" s="39" t="n"/>
    </row>
    <row r="255" ht="15" customHeight="1" s="26">
      <c r="A255" s="37" t="n"/>
      <c r="B255" s="37" t="n"/>
      <c r="C255" s="37" t="n"/>
      <c r="D255" s="38" t="n"/>
      <c r="E255" s="38" t="n"/>
      <c r="F255" s="39" t="n"/>
      <c r="G255" s="39" t="n"/>
    </row>
    <row r="256" ht="15" customHeight="1" s="26">
      <c r="A256" s="37" t="n"/>
      <c r="B256" s="37" t="n"/>
      <c r="C256" s="37" t="n"/>
      <c r="D256" s="38" t="n"/>
      <c r="E256" s="38" t="n"/>
      <c r="F256" s="39" t="n"/>
      <c r="G256" s="39" t="n"/>
    </row>
    <row r="257" ht="15" customHeight="1" s="26">
      <c r="A257" s="37" t="n"/>
      <c r="B257" s="37" t="n"/>
      <c r="C257" s="37" t="n"/>
      <c r="D257" s="38" t="n"/>
      <c r="E257" s="38" t="n"/>
      <c r="F257" s="39" t="n"/>
      <c r="G257" s="39" t="n"/>
    </row>
    <row r="258" ht="15" customHeight="1" s="26">
      <c r="A258" s="37" t="n"/>
      <c r="B258" s="37" t="n"/>
      <c r="C258" s="37" t="n"/>
      <c r="D258" s="38" t="n"/>
      <c r="E258" s="38" t="n"/>
      <c r="F258" s="39" t="n"/>
      <c r="G258" s="39" t="n"/>
    </row>
    <row r="259" ht="15" customHeight="1" s="26">
      <c r="A259" s="37" t="n"/>
      <c r="B259" s="37" t="n"/>
      <c r="C259" s="37" t="n"/>
      <c r="D259" s="38" t="n"/>
      <c r="E259" s="38" t="n"/>
      <c r="F259" s="39" t="n"/>
      <c r="G259" s="39" t="n"/>
    </row>
    <row r="260" ht="15" customHeight="1" s="26">
      <c r="A260" s="37" t="n"/>
      <c r="B260" s="37" t="n"/>
      <c r="C260" s="37" t="n"/>
      <c r="D260" s="38" t="n"/>
      <c r="E260" s="38" t="n"/>
      <c r="F260" s="39" t="n"/>
      <c r="G260" s="39" t="n"/>
    </row>
    <row r="261" ht="15" customHeight="1" s="26">
      <c r="A261" s="37" t="n"/>
      <c r="B261" s="37" t="n"/>
      <c r="C261" s="37" t="n"/>
      <c r="D261" s="38" t="n"/>
      <c r="E261" s="38" t="n"/>
      <c r="F261" s="39" t="n"/>
      <c r="G261" s="39" t="n"/>
    </row>
    <row r="262" ht="15" customHeight="1" s="26">
      <c r="A262" s="37" t="n"/>
      <c r="B262" s="37" t="n"/>
      <c r="C262" s="37" t="n"/>
      <c r="D262" s="38" t="n"/>
      <c r="E262" s="38" t="n"/>
      <c r="F262" s="39" t="n"/>
      <c r="G262" s="39" t="n"/>
    </row>
    <row r="263" ht="15" customHeight="1" s="26">
      <c r="A263" s="37" t="n"/>
      <c r="B263" s="37" t="n"/>
      <c r="C263" s="37" t="n"/>
      <c r="D263" s="38" t="n"/>
      <c r="E263" s="38" t="n"/>
      <c r="F263" s="39" t="n"/>
      <c r="G263" s="39" t="n"/>
    </row>
    <row r="264" ht="15" customHeight="1" s="26">
      <c r="A264" s="37" t="n"/>
      <c r="B264" s="37" t="n"/>
      <c r="C264" s="37" t="n"/>
      <c r="D264" s="38" t="n"/>
      <c r="E264" s="38" t="n"/>
      <c r="F264" s="39" t="n"/>
      <c r="G264" s="39" t="n"/>
    </row>
    <row r="265" ht="15" customHeight="1" s="26">
      <c r="A265" s="37" t="n"/>
      <c r="B265" s="37" t="n"/>
      <c r="C265" s="37" t="n"/>
      <c r="D265" s="38" t="n"/>
      <c r="E265" s="38" t="n"/>
      <c r="F265" s="39" t="n"/>
      <c r="G265" s="39" t="n"/>
    </row>
    <row r="266" ht="15" customHeight="1" s="26">
      <c r="A266" s="37" t="n"/>
      <c r="B266" s="37" t="n"/>
      <c r="C266" s="37" t="n"/>
      <c r="D266" s="38" t="n"/>
      <c r="E266" s="38" t="n"/>
      <c r="F266" s="39" t="n"/>
      <c r="G266" s="39" t="n"/>
    </row>
    <row r="267" ht="15" customHeight="1" s="26">
      <c r="A267" s="37" t="n"/>
      <c r="B267" s="37" t="n"/>
      <c r="C267" s="37" t="n"/>
      <c r="D267" s="38" t="n"/>
      <c r="E267" s="38" t="n"/>
      <c r="F267" s="39" t="n"/>
      <c r="G267" s="39" t="n"/>
    </row>
    <row r="268" ht="15" customHeight="1" s="26">
      <c r="A268" s="37" t="n"/>
      <c r="B268" s="37" t="n"/>
      <c r="C268" s="37" t="n"/>
      <c r="D268" s="38" t="n"/>
      <c r="E268" s="38" t="n"/>
      <c r="F268" s="39" t="n"/>
      <c r="G268" s="39" t="n"/>
    </row>
    <row r="269" ht="15" customHeight="1" s="26">
      <c r="A269" s="37" t="n"/>
      <c r="B269" s="37" t="n"/>
      <c r="C269" s="37" t="n"/>
      <c r="D269" s="38" t="n"/>
      <c r="E269" s="38" t="n"/>
      <c r="F269" s="39" t="n"/>
      <c r="G269" s="39" t="n"/>
    </row>
    <row r="270" ht="15" customHeight="1" s="26">
      <c r="A270" s="37" t="n"/>
      <c r="B270" s="37" t="n"/>
      <c r="C270" s="37" t="n"/>
      <c r="D270" s="38" t="n"/>
      <c r="E270" s="38" t="n"/>
      <c r="F270" s="39" t="n"/>
      <c r="G270" s="39" t="n"/>
    </row>
    <row r="271" ht="15" customHeight="1" s="26">
      <c r="A271" s="37" t="n"/>
      <c r="B271" s="37" t="n"/>
      <c r="C271" s="37" t="n"/>
      <c r="D271" s="38" t="n"/>
      <c r="E271" s="38" t="n"/>
      <c r="F271" s="39" t="n"/>
      <c r="G271" s="39" t="n"/>
    </row>
    <row r="272" ht="15" customHeight="1" s="26">
      <c r="A272" s="37" t="n"/>
      <c r="B272" s="37" t="n"/>
      <c r="C272" s="37" t="n"/>
      <c r="D272" s="38" t="n"/>
      <c r="E272" s="38" t="n"/>
      <c r="F272" s="39" t="n"/>
      <c r="G272" s="39" t="n"/>
    </row>
    <row r="273" ht="15" customHeight="1" s="26">
      <c r="A273" s="37" t="n"/>
      <c r="B273" s="37" t="n"/>
      <c r="C273" s="37" t="n"/>
      <c r="D273" s="38" t="n"/>
      <c r="E273" s="38" t="n"/>
      <c r="F273" s="39" t="n"/>
      <c r="G273" s="39" t="n"/>
    </row>
    <row r="274" ht="15" customHeight="1" s="26">
      <c r="A274" s="37" t="n"/>
      <c r="B274" s="37" t="n"/>
      <c r="C274" s="37" t="n"/>
      <c r="D274" s="38" t="n"/>
      <c r="E274" s="38" t="n"/>
      <c r="F274" s="39" t="n"/>
      <c r="G274" s="39" t="n"/>
    </row>
    <row r="275" ht="15" customHeight="1" s="26">
      <c r="A275" s="37" t="n"/>
      <c r="B275" s="37" t="n"/>
      <c r="C275" s="37" t="n"/>
      <c r="D275" s="38" t="n"/>
      <c r="E275" s="38" t="n"/>
      <c r="F275" s="39" t="n"/>
      <c r="G275" s="39" t="n"/>
    </row>
    <row r="276" ht="15" customHeight="1" s="26">
      <c r="A276" s="37" t="n"/>
      <c r="B276" s="37" t="n"/>
      <c r="C276" s="37" t="n"/>
      <c r="D276" s="38" t="n"/>
      <c r="E276" s="38" t="n"/>
      <c r="F276" s="39" t="n"/>
      <c r="G276" s="39" t="n"/>
    </row>
    <row r="277" ht="15" customHeight="1" s="26">
      <c r="A277" s="37" t="n"/>
      <c r="B277" s="37" t="n"/>
      <c r="C277" s="37" t="n"/>
      <c r="D277" s="38" t="n"/>
      <c r="E277" s="38" t="n"/>
      <c r="F277" s="39" t="n"/>
      <c r="G277" s="39" t="n"/>
    </row>
    <row r="278" ht="15" customHeight="1" s="26">
      <c r="A278" s="37" t="n"/>
      <c r="B278" s="37" t="n"/>
      <c r="C278" s="37" t="n"/>
      <c r="D278" s="38" t="n"/>
      <c r="E278" s="38" t="n"/>
      <c r="F278" s="39" t="n"/>
      <c r="G278" s="39" t="n"/>
    </row>
    <row r="279" ht="15" customHeight="1" s="26">
      <c r="A279" s="37" t="n"/>
      <c r="B279" s="37" t="n"/>
      <c r="C279" s="37" t="n"/>
      <c r="D279" s="38" t="n"/>
      <c r="E279" s="38" t="n"/>
      <c r="F279" s="39" t="n"/>
      <c r="G279" s="39" t="n"/>
    </row>
    <row r="280" ht="15" customHeight="1" s="26">
      <c r="A280" s="37" t="n"/>
      <c r="B280" s="37" t="n"/>
      <c r="C280" s="37" t="n"/>
      <c r="D280" s="38" t="n"/>
      <c r="E280" s="38" t="n"/>
      <c r="F280" s="39" t="n"/>
      <c r="G280" s="39" t="n"/>
    </row>
    <row r="281" ht="15" customHeight="1" s="26">
      <c r="A281" s="37" t="n"/>
      <c r="B281" s="37" t="n"/>
      <c r="C281" s="37" t="n"/>
      <c r="D281" s="38" t="n"/>
      <c r="E281" s="38" t="n"/>
      <c r="F281" s="39" t="n"/>
      <c r="G281" s="39" t="n"/>
    </row>
    <row r="282" ht="15" customHeight="1" s="26">
      <c r="A282" s="37" t="n"/>
      <c r="B282" s="37" t="n"/>
      <c r="C282" s="37" t="n"/>
      <c r="D282" s="38" t="n"/>
      <c r="E282" s="38" t="n"/>
      <c r="F282" s="39" t="n"/>
      <c r="G282" s="39" t="n"/>
    </row>
    <row r="283" ht="15" customHeight="1" s="26">
      <c r="A283" s="37" t="n"/>
      <c r="B283" s="37" t="n"/>
      <c r="C283" s="37" t="n"/>
      <c r="D283" s="38" t="n"/>
      <c r="E283" s="38" t="n"/>
      <c r="F283" s="39" t="n"/>
      <c r="G283" s="39" t="n"/>
    </row>
    <row r="284" ht="15" customHeight="1" s="26">
      <c r="A284" s="37" t="n"/>
      <c r="B284" s="37" t="n"/>
      <c r="C284" s="37" t="n"/>
      <c r="D284" s="38" t="n"/>
      <c r="E284" s="38" t="n"/>
      <c r="F284" s="39" t="n"/>
      <c r="G284" s="39" t="n"/>
    </row>
    <row r="285" ht="15" customHeight="1" s="26">
      <c r="A285" s="37" t="n"/>
      <c r="B285" s="37" t="n"/>
      <c r="C285" s="37" t="n"/>
      <c r="D285" s="38" t="n"/>
      <c r="E285" s="38" t="n"/>
      <c r="F285" s="39" t="n"/>
      <c r="G285" s="39" t="n"/>
    </row>
    <row r="286" ht="15" customHeight="1" s="26">
      <c r="A286" s="37" t="n"/>
      <c r="B286" s="37" t="n"/>
      <c r="C286" s="37" t="n"/>
      <c r="D286" s="38" t="n"/>
      <c r="E286" s="38" t="n"/>
      <c r="F286" s="39" t="n"/>
      <c r="G286" s="39" t="n"/>
    </row>
    <row r="287" ht="15" customHeight="1" s="26">
      <c r="A287" s="37" t="n"/>
      <c r="B287" s="37" t="n"/>
      <c r="C287" s="37" t="n"/>
      <c r="D287" s="38" t="n"/>
      <c r="E287" s="38" t="n"/>
      <c r="F287" s="39" t="n"/>
      <c r="G287" s="39" t="n"/>
    </row>
    <row r="288" ht="15" customHeight="1" s="26">
      <c r="A288" s="37" t="n"/>
      <c r="B288" s="37" t="n"/>
      <c r="C288" s="37" t="n"/>
      <c r="D288" s="38" t="n"/>
      <c r="E288" s="38" t="n"/>
      <c r="F288" s="39" t="n"/>
      <c r="G288" s="39" t="n"/>
    </row>
    <row r="289" ht="15" customHeight="1" s="26">
      <c r="A289" s="37" t="n"/>
      <c r="B289" s="37" t="n"/>
      <c r="C289" s="37" t="n"/>
      <c r="D289" s="38" t="n"/>
      <c r="E289" s="38" t="n"/>
      <c r="F289" s="39" t="n"/>
      <c r="G289" s="39" t="n"/>
    </row>
    <row r="290" ht="15" customHeight="1" s="26">
      <c r="A290" s="37" t="n"/>
      <c r="B290" s="37" t="n"/>
      <c r="C290" s="37" t="n"/>
      <c r="D290" s="38" t="n"/>
      <c r="E290" s="38" t="n"/>
      <c r="F290" s="39" t="n"/>
      <c r="G290" s="39" t="n"/>
    </row>
    <row r="291" ht="15" customHeight="1" s="26">
      <c r="A291" s="37" t="n"/>
      <c r="B291" s="37" t="n"/>
      <c r="C291" s="37" t="n"/>
      <c r="D291" s="38" t="n"/>
      <c r="E291" s="38" t="n"/>
      <c r="F291" s="39" t="n"/>
      <c r="G291" s="39" t="n"/>
    </row>
    <row r="292" ht="15" customHeight="1" s="26">
      <c r="A292" s="37" t="n"/>
      <c r="B292" s="37" t="n"/>
      <c r="C292" s="37" t="n"/>
      <c r="D292" s="38" t="n"/>
      <c r="E292" s="38" t="n"/>
      <c r="F292" s="39" t="n"/>
      <c r="G292" s="39" t="n"/>
    </row>
    <row r="293" ht="15" customHeight="1" s="26">
      <c r="A293" s="37" t="n"/>
      <c r="B293" s="37" t="n"/>
      <c r="C293" s="37" t="n"/>
      <c r="D293" s="38" t="n"/>
      <c r="E293" s="38" t="n"/>
      <c r="F293" s="39" t="n"/>
      <c r="G293" s="39" t="n"/>
    </row>
    <row r="294" ht="15" customHeight="1" s="26">
      <c r="A294" s="37" t="n"/>
      <c r="B294" s="37" t="n"/>
      <c r="C294" s="37" t="n"/>
      <c r="D294" s="38" t="n"/>
      <c r="E294" s="38" t="n"/>
      <c r="F294" s="39" t="n"/>
      <c r="G294" s="39" t="n"/>
    </row>
    <row r="295" ht="15" customHeight="1" s="26">
      <c r="A295" s="37" t="n"/>
      <c r="B295" s="37" t="n"/>
      <c r="C295" s="37" t="n"/>
      <c r="D295" s="38" t="n"/>
      <c r="E295" s="38" t="n"/>
      <c r="F295" s="39" t="n"/>
      <c r="G295" s="39" t="n"/>
    </row>
    <row r="296" ht="15" customHeight="1" s="26">
      <c r="A296" s="37" t="n"/>
      <c r="B296" s="37" t="n"/>
      <c r="C296" s="37" t="n"/>
      <c r="D296" s="38" t="n"/>
      <c r="E296" s="38" t="n"/>
      <c r="F296" s="39" t="n"/>
      <c r="G296" s="39" t="n"/>
    </row>
    <row r="297" ht="15" customHeight="1" s="26">
      <c r="A297" s="37" t="n"/>
      <c r="B297" s="37" t="n"/>
      <c r="C297" s="37" t="n"/>
      <c r="D297" s="38" t="n"/>
      <c r="E297" s="38" t="n"/>
      <c r="F297" s="39" t="n"/>
      <c r="G297" s="39" t="n"/>
    </row>
    <row r="298" ht="15" customHeight="1" s="26">
      <c r="A298" s="37" t="n"/>
      <c r="B298" s="37" t="n"/>
      <c r="C298" s="37" t="n"/>
      <c r="D298" s="38" t="n"/>
      <c r="E298" s="38" t="n"/>
      <c r="F298" s="39" t="n"/>
      <c r="G298" s="39" t="n"/>
    </row>
    <row r="299" ht="15" customHeight="1" s="26">
      <c r="A299" s="37" t="n"/>
      <c r="B299" s="37" t="n"/>
      <c r="C299" s="37" t="n"/>
      <c r="D299" s="38" t="n"/>
      <c r="E299" s="38" t="n"/>
      <c r="F299" s="39" t="n"/>
      <c r="G299" s="39" t="n"/>
    </row>
    <row r="300" ht="15" customHeight="1" s="26">
      <c r="A300" s="37" t="n"/>
      <c r="B300" s="37" t="n"/>
      <c r="C300" s="37" t="n"/>
      <c r="D300" s="38" t="n"/>
      <c r="E300" s="38" t="n"/>
      <c r="F300" s="39" t="n"/>
      <c r="G300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5" min="1" max="1"/>
    <col width="20" customWidth="1" style="25" min="2" max="2"/>
    <col width="38" customWidth="1" style="25" min="3" max="3"/>
    <col width="36" customWidth="1" style="25" min="4" max="4"/>
    <col width="8" customWidth="1" style="25" min="5" max="5"/>
    <col width="12" customWidth="1" style="25" min="6" max="6"/>
    <col width="18" customWidth="1" style="25" min="7" max="7"/>
    <col width="12" customWidth="1" style="25" min="8" max="8"/>
    <col width="28" customWidth="1" style="25" min="9" max="9"/>
    <col width="10" customWidth="1" style="25" min="10" max="10"/>
    <col width="12" customWidth="1" style="25" min="11" max="12"/>
    <col width="13" customWidth="1" style="25" min="13" max="14"/>
    <col width="14" customWidth="1" style="25" min="15" max="16"/>
    <col width="28" customWidth="1" style="25" min="17" max="17"/>
  </cols>
  <sheetData>
    <row r="1" ht="31.5" customHeight="1" s="26">
      <c r="A1" s="36" t="inlineStr">
        <is>
          <t>item_id</t>
        </is>
      </c>
      <c r="B1" s="36" t="inlineStr">
        <is>
          <t>category</t>
        </is>
      </c>
      <c r="C1" s="36" t="inlineStr">
        <is>
          <t>item</t>
        </is>
      </c>
      <c r="D1" s="36" t="inlineStr">
        <is>
          <t>spec</t>
        </is>
      </c>
      <c r="E1" s="36" t="inlineStr">
        <is>
          <t>uom</t>
        </is>
      </c>
      <c r="F1" s="36" t="inlineStr">
        <is>
          <t>unit_price</t>
        </is>
      </c>
      <c r="G1" s="36" t="inlineStr">
        <is>
          <t>vendor</t>
        </is>
      </c>
      <c r="H1" s="36" t="inlineStr">
        <is>
          <t>price_date</t>
        </is>
      </c>
      <c r="I1" s="36" t="inlineStr">
        <is>
          <t>source_url_or_sku</t>
        </is>
      </c>
      <c r="J1" s="36" t="inlineStr">
        <is>
          <t>overage_pct</t>
        </is>
      </c>
      <c r="K1" s="36" t="inlineStr">
        <is>
          <t>qty_base</t>
        </is>
      </c>
      <c r="L1" s="36" t="inlineStr">
        <is>
          <t>qty_alt</t>
        </is>
      </c>
      <c r="M1" s="36" t="inlineStr">
        <is>
          <t>order_qty_base</t>
        </is>
      </c>
      <c r="N1" s="36" t="inlineStr">
        <is>
          <t>order_qty_alt</t>
        </is>
      </c>
      <c r="O1" s="36" t="inlineStr">
        <is>
          <t>ext_base</t>
        </is>
      </c>
      <c r="P1" s="36" t="inlineStr">
        <is>
          <t>ext_alt</t>
        </is>
      </c>
      <c r="Q1" s="36" t="inlineStr">
        <is>
          <t>notes</t>
        </is>
      </c>
    </row>
    <row r="2" ht="15" customHeight="1" s="26">
      <c r="A2" s="37" t="inlineStr">
        <is>
          <t>M01</t>
        </is>
      </c>
      <c r="B2" s="37" t="inlineStr">
        <is>
          <t>Framework</t>
        </is>
      </c>
      <c r="C2" s="37" t="inlineStr">
        <is>
          <t>Post, Type A terminal / corner / gate</t>
        </is>
      </c>
      <c r="D2" s="37" t="inlineStr">
        <is>
          <t>2-7/8 in OD (2.875), hot-dip galvanized steel pipe. Wall / weight class not specified. Stock length per Takeoff.</t>
        </is>
      </c>
      <c r="E2" s="37" t="inlineStr">
        <is>
          <t>EA</t>
        </is>
      </c>
      <c r="F2" s="40" t="n">
        <v>98</v>
      </c>
      <c r="G2" s="41" t="inlineStr">
        <is>
          <t>Reference estimate</t>
        </is>
      </c>
      <c r="H2" s="42" t="n">
        <v>46307</v>
      </c>
      <c r="I2" s="41" t="inlineStr">
        <is>
          <t>reference estimate</t>
        </is>
      </c>
      <c r="J2" s="43" t="n">
        <v>0</v>
      </c>
      <c r="K2" s="44">
        <f>IF($A2="","",IF(INDEX(Takeoff_In!$D$2:$D$300,MATCH($A2,Takeoff_In!$A$2:$A$300,0))="",NA(),INDEX(Takeoff_In!$D$2:$D$300,MATCH($A2,Takeoff_In!$A$2:$A$300,0))))</f>
        <v/>
      </c>
      <c r="L2" s="44">
        <f>IF($A2="","",IF(INDEX(Takeoff_In!$E$2:$E$300,MATCH($A2,Takeoff_In!$A$2:$A$300,0))="",NA(),INDEX(Takeoff_In!$E$2:$E$300,MATCH($A2,Takeoff_In!$A$2:$A$300,0))))</f>
        <v/>
      </c>
      <c r="M2" s="45">
        <f>IF($A2="","",IF(ISNUMBER($J2),IF($E2="CU YD",ROUNDUP(K2*(1+$J2),1),ROUNDUP(K2*(1+$J2),0)),NA()))</f>
        <v/>
      </c>
      <c r="N2" s="45">
        <f>IF($A2="","",IF(ISNUMBER($J2),IF($E2="CU YD",ROUNDUP(L2*(1+$J2),1),ROUNDUP(L2*(1+$J2),0)),NA()))</f>
        <v/>
      </c>
      <c r="O2" s="46">
        <f>IF($A2="","",IF(ISNUMBER($F2),M2*$F2,NA()))</f>
        <v/>
      </c>
      <c r="P2" s="46">
        <f>IF($A2="","",IF(ISNUMBER($F2),N2*$F2,NA()))</f>
        <v/>
      </c>
      <c r="Q2" s="37" t="inlineStr">
        <is>
          <t>Fictional reference estimate; not a vendor quote.</t>
        </is>
      </c>
    </row>
    <row r="3" ht="15" customHeight="1" s="26">
      <c r="A3" s="37" t="inlineStr">
        <is>
          <t>M02</t>
        </is>
      </c>
      <c r="B3" s="37" t="inlineStr">
        <is>
          <t>Framework</t>
        </is>
      </c>
      <c r="C3" s="37" t="inlineStr">
        <is>
          <t>Post, Type A line</t>
        </is>
      </c>
      <c r="D3" s="37" t="inlineStr">
        <is>
          <t>2-3/8 in OD (2.375), hot-dip galvanized steel pipe. Wall / weight class not specified. Stock length per Takeoff.</t>
        </is>
      </c>
      <c r="E3" s="37" t="inlineStr">
        <is>
          <t>EA</t>
        </is>
      </c>
      <c r="F3" s="40" t="n">
        <v>68</v>
      </c>
      <c r="G3" s="41" t="inlineStr">
        <is>
          <t>Reference estimate</t>
        </is>
      </c>
      <c r="H3" s="42" t="n">
        <v>46307</v>
      </c>
      <c r="I3" s="41" t="inlineStr">
        <is>
          <t>reference estimate</t>
        </is>
      </c>
      <c r="J3" s="43" t="n">
        <v>0</v>
      </c>
      <c r="K3" s="44">
        <f>IF($A3="","",IF(INDEX(Takeoff_In!$D$2:$D$300,MATCH($A3,Takeoff_In!$A$2:$A$300,0))="",NA(),INDEX(Takeoff_In!$D$2:$D$300,MATCH($A3,Takeoff_In!$A$2:$A$300,0))))</f>
        <v/>
      </c>
      <c r="L3" s="44">
        <f>IF($A3="","",IF(INDEX(Takeoff_In!$E$2:$E$300,MATCH($A3,Takeoff_In!$A$2:$A$300,0))="",NA(),INDEX(Takeoff_In!$E$2:$E$300,MATCH($A3,Takeoff_In!$A$2:$A$300,0))))</f>
        <v/>
      </c>
      <c r="M3" s="45">
        <f>IF($A3="","",IF(ISNUMBER($J3),IF($E3="CU YD",ROUNDUP(K3*(1+$J3),1),ROUNDUP(K3*(1+$J3),0)),NA()))</f>
        <v/>
      </c>
      <c r="N3" s="45">
        <f>IF($A3="","",IF(ISNUMBER($J3),IF($E3="CU YD",ROUNDUP(L3*(1+$J3),1),ROUNDUP(L3*(1+$J3),0)),NA()))</f>
        <v/>
      </c>
      <c r="O3" s="46">
        <f>IF($A3="","",IF(ISNUMBER($F3),M3*$F3,NA()))</f>
        <v/>
      </c>
      <c r="P3" s="46">
        <f>IF($A3="","",IF(ISNUMBER($F3),N3*$F3,NA()))</f>
        <v/>
      </c>
      <c r="Q3" s="37" t="inlineStr">
        <is>
          <t>Fictional reference estimate; not a vendor quote.</t>
        </is>
      </c>
    </row>
    <row r="4" ht="15" customHeight="1" s="26">
      <c r="A4" s="37" t="inlineStr">
        <is>
          <t>M03</t>
        </is>
      </c>
      <c r="B4" s="37" t="inlineStr">
        <is>
          <t>Framework</t>
        </is>
      </c>
      <c r="C4" s="37" t="inlineStr">
        <is>
          <t>Post, Type B terminal</t>
        </is>
      </c>
      <c r="D4" s="37" t="inlineStr">
        <is>
          <t>2-3/8 in OD (2.375), hot-dip galvanized steel pipe, stock length per Takeoff (Type B).</t>
        </is>
      </c>
      <c r="E4" s="37" t="inlineStr">
        <is>
          <t>EA</t>
        </is>
      </c>
      <c r="F4" s="40" t="n">
        <v>30</v>
      </c>
      <c r="G4" s="41" t="inlineStr">
        <is>
          <t>Reference estimate</t>
        </is>
      </c>
      <c r="H4" s="42" t="n">
        <v>46307</v>
      </c>
      <c r="I4" s="41" t="inlineStr">
        <is>
          <t>reference estimate</t>
        </is>
      </c>
      <c r="J4" s="43" t="n">
        <v>0</v>
      </c>
      <c r="K4" s="44">
        <f>IF($A4="","",IF(INDEX(Takeoff_In!$D$2:$D$300,MATCH($A4,Takeoff_In!$A$2:$A$300,0))="",NA(),INDEX(Takeoff_In!$D$2:$D$300,MATCH($A4,Takeoff_In!$A$2:$A$300,0))))</f>
        <v/>
      </c>
      <c r="L4" s="44">
        <f>IF($A4="","",IF(INDEX(Takeoff_In!$E$2:$E$300,MATCH($A4,Takeoff_In!$A$2:$A$300,0))="",NA(),INDEX(Takeoff_In!$E$2:$E$300,MATCH($A4,Takeoff_In!$A$2:$A$300,0))))</f>
        <v/>
      </c>
      <c r="M4" s="45">
        <f>IF($A4="","",IF(ISNUMBER($J4),IF($E4="CU YD",ROUNDUP(K4*(1+$J4),1),ROUNDUP(K4*(1+$J4),0)),NA()))</f>
        <v/>
      </c>
      <c r="N4" s="45">
        <f>IF($A4="","",IF(ISNUMBER($J4),IF($E4="CU YD",ROUNDUP(L4*(1+$J4),1),ROUNDUP(L4*(1+$J4),0)),NA()))</f>
        <v/>
      </c>
      <c r="O4" s="46">
        <f>IF($A4="","",IF(ISNUMBER($F4),M4*$F4,NA()))</f>
        <v/>
      </c>
      <c r="P4" s="46">
        <f>IF($A4="","",IF(ISNUMBER($F4),N4*$F4,NA()))</f>
        <v/>
      </c>
      <c r="Q4" s="37" t="inlineStr">
        <is>
          <t>Fictional reference estimate; not a vendor quote.</t>
        </is>
      </c>
    </row>
    <row r="5" ht="15" customHeight="1" s="26">
      <c r="A5" s="37" t="inlineStr">
        <is>
          <t>M04</t>
        </is>
      </c>
      <c r="B5" s="37" t="inlineStr">
        <is>
          <t>Framework</t>
        </is>
      </c>
      <c r="C5" s="37" t="inlineStr">
        <is>
          <t>Post, Type B line</t>
        </is>
      </c>
      <c r="D5" s="37" t="inlineStr">
        <is>
          <t>1-7/8 in OD (nominal 1.900), hot-dip galvanized steel pipe, stock length per Takeoff (Type B).</t>
        </is>
      </c>
      <c r="E5" s="37" t="inlineStr">
        <is>
          <t>EA</t>
        </is>
      </c>
      <c r="F5" s="40" t="n">
        <v>24</v>
      </c>
      <c r="G5" s="41" t="inlineStr">
        <is>
          <t>Reference estimate</t>
        </is>
      </c>
      <c r="H5" s="42" t="n">
        <v>46307</v>
      </c>
      <c r="I5" s="41" t="inlineStr">
        <is>
          <t>reference estimate</t>
        </is>
      </c>
      <c r="J5" s="43" t="n">
        <v>0</v>
      </c>
      <c r="K5" s="44">
        <f>IF($A5="","",IF(INDEX(Takeoff_In!$D$2:$D$300,MATCH($A5,Takeoff_In!$A$2:$A$300,0))="",NA(),INDEX(Takeoff_In!$D$2:$D$300,MATCH($A5,Takeoff_In!$A$2:$A$300,0))))</f>
        <v/>
      </c>
      <c r="L5" s="44">
        <f>IF($A5="","",IF(INDEX(Takeoff_In!$E$2:$E$300,MATCH($A5,Takeoff_In!$A$2:$A$300,0))="",NA(),INDEX(Takeoff_In!$E$2:$E$300,MATCH($A5,Takeoff_In!$A$2:$A$300,0))))</f>
        <v/>
      </c>
      <c r="M5" s="45">
        <f>IF($A5="","",IF(ISNUMBER($J5),IF($E5="CU YD",ROUNDUP(K5*(1+$J5),1),ROUNDUP(K5*(1+$J5),0)),NA()))</f>
        <v/>
      </c>
      <c r="N5" s="45">
        <f>IF($A5="","",IF(ISNUMBER($J5),IF($E5="CU YD",ROUNDUP(L5*(1+$J5),1),ROUNDUP(L5*(1+$J5),0)),NA()))</f>
        <v/>
      </c>
      <c r="O5" s="46">
        <f>IF($A5="","",IF(ISNUMBER($F5),M5*$F5,NA()))</f>
        <v/>
      </c>
      <c r="P5" s="46">
        <f>IF($A5="","",IF(ISNUMBER($F5),N5*$F5,NA()))</f>
        <v/>
      </c>
      <c r="Q5" s="37" t="inlineStr">
        <is>
          <t>Fictional reference estimate; not a vendor quote.</t>
        </is>
      </c>
    </row>
    <row r="6" ht="15" customHeight="1" s="26">
      <c r="A6" s="37" t="inlineStr">
        <is>
          <t>M05</t>
        </is>
      </c>
      <c r="B6" s="37" t="inlineStr">
        <is>
          <t>Framework</t>
        </is>
      </c>
      <c r="C6" s="37" t="inlineStr">
        <is>
          <t>Top rail</t>
        </is>
      </c>
      <c r="D6" s="37" t="inlineStr">
        <is>
          <t>1-5/8 in OD (1.660), galvanized, swaged, continuous. Type A + Type B.</t>
        </is>
      </c>
      <c r="E6" s="37" t="inlineStr">
        <is>
          <t>LF</t>
        </is>
      </c>
      <c r="F6" s="40" t="n">
        <v>1.9</v>
      </c>
      <c r="G6" s="41" t="inlineStr">
        <is>
          <t>Reference estimate</t>
        </is>
      </c>
      <c r="H6" s="42" t="n">
        <v>46307</v>
      </c>
      <c r="I6" s="41" t="n"/>
      <c r="J6" s="43" t="n">
        <v>0.05</v>
      </c>
      <c r="K6" s="44">
        <f>IF($A6="","",IF(INDEX(Takeoff_In!$D$2:$D$300,MATCH($A6,Takeoff_In!$A$2:$A$300,0))="",NA(),INDEX(Takeoff_In!$D$2:$D$300,MATCH($A6,Takeoff_In!$A$2:$A$300,0))))</f>
        <v/>
      </c>
      <c r="L6" s="44">
        <f>IF($A6="","",IF(INDEX(Takeoff_In!$E$2:$E$300,MATCH($A6,Takeoff_In!$A$2:$A$300,0))="",NA(),INDEX(Takeoff_In!$E$2:$E$300,MATCH($A6,Takeoff_In!$A$2:$A$300,0))))</f>
        <v/>
      </c>
      <c r="M6" s="45">
        <f>IF($A6="","",IF(ISNUMBER($J6),IF($E6="CU YD",ROUNDUP(K6*(1+$J6),1),ROUNDUP(K6*(1+$J6),0)),NA()))</f>
        <v/>
      </c>
      <c r="N6" s="45">
        <f>IF($A6="","",IF(ISNUMBER($J6),IF($E6="CU YD",ROUNDUP(L6*(1+$J6),1),ROUNDUP(L6*(1+$J6),0)),NA()))</f>
        <v/>
      </c>
      <c r="O6" s="46">
        <f>IF($A6="","",IF(ISNUMBER($F6),M6*$F6,NA()))</f>
        <v/>
      </c>
      <c r="P6" s="46">
        <f>IF($A6="","",IF(ISNUMBER($F6),N6*$F6,NA()))</f>
        <v/>
      </c>
      <c r="Q6" s="37" t="inlineStr">
        <is>
          <t>Per LF of 1-5/8 rail. Estimate.</t>
        </is>
      </c>
    </row>
    <row r="7" ht="15" customHeight="1" s="26">
      <c r="A7" s="37" t="inlineStr">
        <is>
          <t>M06</t>
        </is>
      </c>
      <c r="B7" s="37" t="inlineStr">
        <is>
          <t>Framework</t>
        </is>
      </c>
      <c r="C7" s="37" t="inlineStr">
        <is>
          <t>Mid rail / brace rail, Type A</t>
        </is>
      </c>
      <c r="D7" s="37" t="inlineStr">
        <is>
          <t>1-5/8 in OD (1.660), galvanized, at 5'-0". Continuous per F501 elevation; brace rail at terminals is the mid rail.</t>
        </is>
      </c>
      <c r="E7" s="37" t="inlineStr">
        <is>
          <t>LF</t>
        </is>
      </c>
      <c r="F7" s="40" t="n">
        <v>1.9</v>
      </c>
      <c r="G7" s="41" t="inlineStr">
        <is>
          <t>Reference estimate</t>
        </is>
      </c>
      <c r="H7" s="42" t="n">
        <v>46307</v>
      </c>
      <c r="I7" s="41" t="n"/>
      <c r="J7" s="43" t="n">
        <v>0.05</v>
      </c>
      <c r="K7" s="44">
        <f>IF($A7="","",IF(INDEX(Takeoff_In!$D$2:$D$300,MATCH($A7,Takeoff_In!$A$2:$A$300,0))="",NA(),INDEX(Takeoff_In!$D$2:$D$300,MATCH($A7,Takeoff_In!$A$2:$A$300,0))))</f>
        <v/>
      </c>
      <c r="L7" s="44">
        <f>IF($A7="","",IF(INDEX(Takeoff_In!$E$2:$E$300,MATCH($A7,Takeoff_In!$A$2:$A$300,0))="",NA(),INDEX(Takeoff_In!$E$2:$E$300,MATCH($A7,Takeoff_In!$A$2:$A$300,0))))</f>
        <v/>
      </c>
      <c r="M7" s="45">
        <f>IF($A7="","",IF(ISNUMBER($J7),IF($E7="CU YD",ROUNDUP(K7*(1+$J7),1),ROUNDUP(K7*(1+$J7),0)),NA()))</f>
        <v/>
      </c>
      <c r="N7" s="45">
        <f>IF($A7="","",IF(ISNUMBER($J7),IF($E7="CU YD",ROUNDUP(L7*(1+$J7),1),ROUNDUP(L7*(1+$J7),0)),NA()))</f>
        <v/>
      </c>
      <c r="O7" s="46">
        <f>IF($A7="","",IF(ISNUMBER($F7),M7*$F7,NA()))</f>
        <v/>
      </c>
      <c r="P7" s="46">
        <f>IF($A7="","",IF(ISNUMBER($F7),N7*$F7,NA()))</f>
        <v/>
      </c>
      <c r="Q7" s="37" t="inlineStr">
        <is>
          <t>Same rail as M05.</t>
        </is>
      </c>
    </row>
    <row r="8" ht="15" customHeight="1" s="26">
      <c r="A8" s="37" t="inlineStr">
        <is>
          <t>M07</t>
        </is>
      </c>
      <c r="B8" s="37" t="inlineStr">
        <is>
          <t>Framework</t>
        </is>
      </c>
      <c r="C8" s="37" t="inlineStr">
        <is>
          <t>Rail sleeve / coupling</t>
        </is>
      </c>
      <c r="D8" s="37" t="inlineStr">
        <is>
          <t>For 1-5/8 in OD rail (swaged-end or expansion sleeve).</t>
        </is>
      </c>
      <c r="E8" s="37" t="inlineStr">
        <is>
          <t>EA</t>
        </is>
      </c>
      <c r="F8" s="40" t="n">
        <v>3.5</v>
      </c>
      <c r="G8" s="41" t="inlineStr">
        <is>
          <t>Reference estimate</t>
        </is>
      </c>
      <c r="H8" s="42" t="n">
        <v>46307</v>
      </c>
      <c r="I8" s="41" t="n"/>
      <c r="J8" s="43" t="n">
        <v>0.1</v>
      </c>
      <c r="K8" s="44">
        <f>IF($A8="","",IF(INDEX(Takeoff_In!$D$2:$D$300,MATCH($A8,Takeoff_In!$A$2:$A$300,0))="",NA(),INDEX(Takeoff_In!$D$2:$D$300,MATCH($A8,Takeoff_In!$A$2:$A$300,0))))</f>
        <v/>
      </c>
      <c r="L8" s="44">
        <f>IF($A8="","",IF(INDEX(Takeoff_In!$E$2:$E$300,MATCH($A8,Takeoff_In!$A$2:$A$300,0))="",NA(),INDEX(Takeoff_In!$E$2:$E$300,MATCH($A8,Takeoff_In!$A$2:$A$300,0))))</f>
        <v/>
      </c>
      <c r="M8" s="45">
        <f>IF($A8="","",IF(ISNUMBER($J8),IF($E8="CU YD",ROUNDUP(K8*(1+$J8),1),ROUNDUP(K8*(1+$J8),0)),NA()))</f>
        <v/>
      </c>
      <c r="N8" s="45">
        <f>IF($A8="","",IF(ISNUMBER($J8),IF($E8="CU YD",ROUNDUP(L8*(1+$J8),1),ROUNDUP(L8*(1+$J8),0)),NA()))</f>
        <v/>
      </c>
      <c r="O8" s="46">
        <f>IF($A8="","",IF(ISNUMBER($F8),M8*$F8,NA()))</f>
        <v/>
      </c>
      <c r="P8" s="46">
        <f>IF($A8="","",IF(ISNUMBER($F8),N8*$F8,NA()))</f>
        <v/>
      </c>
      <c r="Q8" s="37" t="n"/>
    </row>
    <row r="9" ht="15" customHeight="1" s="26">
      <c r="A9" s="37" t="inlineStr">
        <is>
          <t>M08</t>
        </is>
      </c>
      <c r="B9" s="37" t="inlineStr">
        <is>
          <t>Framework</t>
        </is>
      </c>
      <c r="C9" s="37" t="inlineStr">
        <is>
          <t>Truss rod with turnbuckle, fence braces</t>
        </is>
      </c>
      <c r="D9" s="37" t="inlineStr">
        <is>
          <t>3/8 in dia, galvanized, adjustable, to span a 10 ft bay at 5 ft height (about 11 ft 2 in diagonal).</t>
        </is>
      </c>
      <c r="E9" s="37" t="inlineStr">
        <is>
          <t>EA</t>
        </is>
      </c>
      <c r="F9" s="40" t="n">
        <v>14</v>
      </c>
      <c r="G9" s="41" t="inlineStr">
        <is>
          <t>Reference estimate</t>
        </is>
      </c>
      <c r="H9" s="42" t="n">
        <v>46307</v>
      </c>
      <c r="I9" s="41" t="n"/>
      <c r="J9" s="43" t="n">
        <v>0.1</v>
      </c>
      <c r="K9" s="44">
        <f>IF($A9="","",IF(INDEX(Takeoff_In!$D$2:$D$300,MATCH($A9,Takeoff_In!$A$2:$A$300,0))="",NA(),INDEX(Takeoff_In!$D$2:$D$300,MATCH($A9,Takeoff_In!$A$2:$A$300,0))))</f>
        <v/>
      </c>
      <c r="L9" s="44">
        <f>IF($A9="","",IF(INDEX(Takeoff_In!$E$2:$E$300,MATCH($A9,Takeoff_In!$A$2:$A$300,0))="",NA(),INDEX(Takeoff_In!$E$2:$E$300,MATCH($A9,Takeoff_In!$A$2:$A$300,0))))</f>
        <v/>
      </c>
      <c r="M9" s="45">
        <f>IF($A9="","",IF(ISNUMBER($J9),IF($E9="CU YD",ROUNDUP(K9*(1+$J9),1),ROUNDUP(K9*(1+$J9),0)),NA()))</f>
        <v/>
      </c>
      <c r="N9" s="45">
        <f>IF($A9="","",IF(ISNUMBER($J9),IF($E9="CU YD",ROUNDUP(L9*(1+$J9),1),ROUNDUP(L9*(1+$J9),0)),NA()))</f>
        <v/>
      </c>
      <c r="O9" s="46">
        <f>IF($A9="","",IF(ISNUMBER($F9),M9*$F9,NA()))</f>
        <v/>
      </c>
      <c r="P9" s="46">
        <f>IF($A9="","",IF(ISNUMBER($F9),N9*$F9,NA()))</f>
        <v/>
      </c>
      <c r="Q9" s="37" t="inlineStr">
        <is>
          <t>3/8 truss rod with turnbuckle, about 11 ft.</t>
        </is>
      </c>
    </row>
    <row r="10" ht="15" customHeight="1" s="26">
      <c r="A10" s="37" t="inlineStr">
        <is>
          <t>M09</t>
        </is>
      </c>
      <c r="B10" s="37" t="inlineStr">
        <is>
          <t>Framework</t>
        </is>
      </c>
      <c r="C10" s="37" t="inlineStr">
        <is>
          <t>Brace band, terminal-side</t>
        </is>
      </c>
      <c r="D10" s="37" t="inlineStr">
        <is>
          <t>For 2-7/8 in OD post and 1-5/8 in OD rail / 3/8 in truss rod.</t>
        </is>
      </c>
      <c r="E10" s="37" t="inlineStr">
        <is>
          <t>EA</t>
        </is>
      </c>
      <c r="F10" s="40" t="n">
        <v>3.25</v>
      </c>
      <c r="G10" s="41" t="inlineStr">
        <is>
          <t>Reference estimate</t>
        </is>
      </c>
      <c r="H10" s="42" t="n">
        <v>46307</v>
      </c>
      <c r="I10" s="41" t="n"/>
      <c r="J10" s="43" t="n">
        <v>0.1</v>
      </c>
      <c r="K10" s="44">
        <f>IF($A10="","",IF(INDEX(Takeoff_In!$D$2:$D$300,MATCH($A10,Takeoff_In!$A$2:$A$300,0))="",NA(),INDEX(Takeoff_In!$D$2:$D$300,MATCH($A10,Takeoff_In!$A$2:$A$300,0))))</f>
        <v/>
      </c>
      <c r="L10" s="44">
        <f>IF($A10="","",IF(INDEX(Takeoff_In!$E$2:$E$300,MATCH($A10,Takeoff_In!$A$2:$A$300,0))="",NA(),INDEX(Takeoff_In!$E$2:$E$300,MATCH($A10,Takeoff_In!$A$2:$A$300,0))))</f>
        <v/>
      </c>
      <c r="M10" s="45">
        <f>IF($A10="","",IF(ISNUMBER($J10),IF($E10="CU YD",ROUNDUP(K10*(1+$J10),1),ROUNDUP(K10*(1+$J10),0)),NA()))</f>
        <v/>
      </c>
      <c r="N10" s="45">
        <f>IF($A10="","",IF(ISNUMBER($J10),IF($E10="CU YD",ROUNDUP(L10*(1+$J10),1),ROUNDUP(L10*(1+$J10),0)),NA()))</f>
        <v/>
      </c>
      <c r="O10" s="46">
        <f>IF($A10="","",IF(ISNUMBER($F10),M10*$F10,NA()))</f>
        <v/>
      </c>
      <c r="P10" s="46">
        <f>IF($A10="","",IF(ISNUMBER($F10),N10*$F10,NA()))</f>
        <v/>
      </c>
      <c r="Q10" s="37" t="n"/>
    </row>
    <row r="11" ht="15" customHeight="1" s="26">
      <c r="A11" s="37" t="inlineStr">
        <is>
          <t>M10</t>
        </is>
      </c>
      <c r="B11" s="37" t="inlineStr">
        <is>
          <t>Framework</t>
        </is>
      </c>
      <c r="C11" s="37" t="inlineStr">
        <is>
          <t>Brace band, line-post side</t>
        </is>
      </c>
      <c r="D11" s="37" t="inlineStr">
        <is>
          <t>For 2-3/8 in OD post and 1-5/8 in OD rail / 3/8 in truss rod.</t>
        </is>
      </c>
      <c r="E11" s="37" t="inlineStr">
        <is>
          <t>EA</t>
        </is>
      </c>
      <c r="F11" s="40" t="n">
        <v>3</v>
      </c>
      <c r="G11" s="41" t="inlineStr">
        <is>
          <t>Reference estimate</t>
        </is>
      </c>
      <c r="H11" s="42" t="n">
        <v>46307</v>
      </c>
      <c r="I11" s="41" t="n"/>
      <c r="J11" s="43" t="n">
        <v>0.1</v>
      </c>
      <c r="K11" s="44">
        <f>IF($A11="","",IF(INDEX(Takeoff_In!$D$2:$D$300,MATCH($A11,Takeoff_In!$A$2:$A$300,0))="",NA(),INDEX(Takeoff_In!$D$2:$D$300,MATCH($A11,Takeoff_In!$A$2:$A$300,0))))</f>
        <v/>
      </c>
      <c r="L11" s="44">
        <f>IF($A11="","",IF(INDEX(Takeoff_In!$E$2:$E$300,MATCH($A11,Takeoff_In!$A$2:$A$300,0))="",NA(),INDEX(Takeoff_In!$E$2:$E$300,MATCH($A11,Takeoff_In!$A$2:$A$300,0))))</f>
        <v/>
      </c>
      <c r="M11" s="45">
        <f>IF($A11="","",IF(ISNUMBER($J11),IF($E11="CU YD",ROUNDUP(K11*(1+$J11),1),ROUNDUP(K11*(1+$J11),0)),NA()))</f>
        <v/>
      </c>
      <c r="N11" s="45">
        <f>IF($A11="","",IF(ISNUMBER($J11),IF($E11="CU YD",ROUNDUP(L11*(1+$J11),1),ROUNDUP(L11*(1+$J11),0)),NA()))</f>
        <v/>
      </c>
      <c r="O11" s="46">
        <f>IF($A11="","",IF(ISNUMBER($F11),M11*$F11,NA()))</f>
        <v/>
      </c>
      <c r="P11" s="46">
        <f>IF($A11="","",IF(ISNUMBER($F11),N11*$F11,NA()))</f>
        <v/>
      </c>
      <c r="Q11" s="37" t="n"/>
    </row>
    <row r="12" ht="15" customHeight="1" s="26">
      <c r="A12" s="37" t="inlineStr">
        <is>
          <t>M11</t>
        </is>
      </c>
      <c r="B12" s="37" t="inlineStr">
        <is>
          <t>Framework</t>
        </is>
      </c>
      <c r="C12" s="37" t="inlineStr">
        <is>
          <t>Rail end cup / rail end band</t>
        </is>
      </c>
      <c r="D12" s="37" t="inlineStr">
        <is>
          <t>For 1-5/8 in OD rail at terminal, corner and gate posts.</t>
        </is>
      </c>
      <c r="E12" s="37" t="inlineStr">
        <is>
          <t>EA</t>
        </is>
      </c>
      <c r="F12" s="40" t="n">
        <v>2.25</v>
      </c>
      <c r="G12" s="41" t="inlineStr">
        <is>
          <t>Reference estimate</t>
        </is>
      </c>
      <c r="H12" s="42" t="n">
        <v>46307</v>
      </c>
      <c r="I12" s="41" t="n"/>
      <c r="J12" s="43" t="n">
        <v>0.1</v>
      </c>
      <c r="K12" s="44">
        <f>IF($A12="","",IF(INDEX(Takeoff_In!$D$2:$D$300,MATCH($A12,Takeoff_In!$A$2:$A$300,0))="",NA(),INDEX(Takeoff_In!$D$2:$D$300,MATCH($A12,Takeoff_In!$A$2:$A$300,0))))</f>
        <v/>
      </c>
      <c r="L12" s="44">
        <f>IF($A12="","",IF(INDEX(Takeoff_In!$E$2:$E$300,MATCH($A12,Takeoff_In!$A$2:$A$300,0))="",NA(),INDEX(Takeoff_In!$E$2:$E$300,MATCH($A12,Takeoff_In!$A$2:$A$300,0))))</f>
        <v/>
      </c>
      <c r="M12" s="45">
        <f>IF($A12="","",IF(ISNUMBER($J12),IF($E12="CU YD",ROUNDUP(K12*(1+$J12),1),ROUNDUP(K12*(1+$J12),0)),NA()))</f>
        <v/>
      </c>
      <c r="N12" s="45">
        <f>IF($A12="","",IF(ISNUMBER($J12),IF($E12="CU YD",ROUNDUP(L12*(1+$J12),1),ROUNDUP(L12*(1+$J12),0)),NA()))</f>
        <v/>
      </c>
      <c r="O12" s="46">
        <f>IF($A12="","",IF(ISNUMBER($F12),M12*$F12,NA()))</f>
        <v/>
      </c>
      <c r="P12" s="46">
        <f>IF($A12="","",IF(ISNUMBER($F12),N12*$F12,NA()))</f>
        <v/>
      </c>
      <c r="Q12" s="37" t="n"/>
    </row>
    <row r="13" ht="15" customHeight="1" s="26">
      <c r="A13" s="37" t="inlineStr">
        <is>
          <t>M12</t>
        </is>
      </c>
      <c r="B13" s="37" t="inlineStr">
        <is>
          <t>Fabric hardware</t>
        </is>
      </c>
      <c r="C13" s="37" t="inlineStr">
        <is>
          <t>Tension bar, Type A</t>
        </is>
      </c>
      <c r="D13" s="37" t="inlineStr">
        <is>
          <t>3/16 x 3/4 in flat bar, galvanized, about 118 in long (10 ft fabric).</t>
        </is>
      </c>
      <c r="E13" s="37" t="inlineStr">
        <is>
          <t>EA</t>
        </is>
      </c>
      <c r="F13" s="40" t="n">
        <v>9.5</v>
      </c>
      <c r="G13" s="41" t="inlineStr">
        <is>
          <t>Reference estimate</t>
        </is>
      </c>
      <c r="H13" s="42" t="n">
        <v>46307</v>
      </c>
      <c r="I13" s="41" t="n"/>
      <c r="J13" s="43" t="n">
        <v>0.1</v>
      </c>
      <c r="K13" s="44">
        <f>IF($A13="","",IF(INDEX(Takeoff_In!$D$2:$D$300,MATCH($A13,Takeoff_In!$A$2:$A$300,0))="",NA(),INDEX(Takeoff_In!$D$2:$D$300,MATCH($A13,Takeoff_In!$A$2:$A$300,0))))</f>
        <v/>
      </c>
      <c r="L13" s="44">
        <f>IF($A13="","",IF(INDEX(Takeoff_In!$E$2:$E$300,MATCH($A13,Takeoff_In!$A$2:$A$300,0))="",NA(),INDEX(Takeoff_In!$E$2:$E$300,MATCH($A13,Takeoff_In!$A$2:$A$300,0))))</f>
        <v/>
      </c>
      <c r="M13" s="45">
        <f>IF($A13="","",IF(ISNUMBER($J13),IF($E13="CU YD",ROUNDUP(K13*(1+$J13),1),ROUNDUP(K13*(1+$J13),0)),NA()))</f>
        <v/>
      </c>
      <c r="N13" s="45">
        <f>IF($A13="","",IF(ISNUMBER($J13),IF($E13="CU YD",ROUNDUP(L13*(1+$J13),1),ROUNDUP(L13*(1+$J13),0)),NA()))</f>
        <v/>
      </c>
      <c r="O13" s="46">
        <f>IF($A13="","",IF(ISNUMBER($F13),M13*$F13,NA()))</f>
        <v/>
      </c>
      <c r="P13" s="46">
        <f>IF($A13="","",IF(ISNUMBER($F13),N13*$F13,NA()))</f>
        <v/>
      </c>
      <c r="Q13" s="37" t="inlineStr">
        <is>
          <t>118 in bar.</t>
        </is>
      </c>
    </row>
    <row r="14" ht="15" customHeight="1" s="26">
      <c r="A14" s="37" t="inlineStr">
        <is>
          <t>M13</t>
        </is>
      </c>
      <c r="B14" s="37" t="inlineStr">
        <is>
          <t>Fabric hardware</t>
        </is>
      </c>
      <c r="C14" s="37" t="inlineStr">
        <is>
          <t>Tension bar, Type B</t>
        </is>
      </c>
      <c r="D14" s="37" t="inlineStr">
        <is>
          <t>3/16 x 3/4 in flat bar, galvanized, about 40 in long (42 in fabric).</t>
        </is>
      </c>
      <c r="E14" s="37" t="inlineStr">
        <is>
          <t>EA</t>
        </is>
      </c>
      <c r="F14" s="40" t="n">
        <v>3.6</v>
      </c>
      <c r="G14" s="41" t="inlineStr">
        <is>
          <t>Reference estimate</t>
        </is>
      </c>
      <c r="H14" s="42" t="n">
        <v>46307</v>
      </c>
      <c r="I14" s="41" t="n"/>
      <c r="J14" s="43" t="n">
        <v>0.1</v>
      </c>
      <c r="K14" s="44">
        <f>IF($A14="","",IF(INDEX(Takeoff_In!$D$2:$D$300,MATCH($A14,Takeoff_In!$A$2:$A$300,0))="",NA(),INDEX(Takeoff_In!$D$2:$D$300,MATCH($A14,Takeoff_In!$A$2:$A$300,0))))</f>
        <v/>
      </c>
      <c r="L14" s="44">
        <f>IF($A14="","",IF(INDEX(Takeoff_In!$E$2:$E$300,MATCH($A14,Takeoff_In!$A$2:$A$300,0))="",NA(),INDEX(Takeoff_In!$E$2:$E$300,MATCH($A14,Takeoff_In!$A$2:$A$300,0))))</f>
        <v/>
      </c>
      <c r="M14" s="45">
        <f>IF($A14="","",IF(ISNUMBER($J14),IF($E14="CU YD",ROUNDUP(K14*(1+$J14),1),ROUNDUP(K14*(1+$J14),0)),NA()))</f>
        <v/>
      </c>
      <c r="N14" s="45">
        <f>IF($A14="","",IF(ISNUMBER($J14),IF($E14="CU YD",ROUNDUP(L14*(1+$J14),1),ROUNDUP(L14*(1+$J14),0)),NA()))</f>
        <v/>
      </c>
      <c r="O14" s="46">
        <f>IF($A14="","",IF(ISNUMBER($F14),M14*$F14,NA()))</f>
        <v/>
      </c>
      <c r="P14" s="46">
        <f>IF($A14="","",IF(ISNUMBER($F14),N14*$F14,NA()))</f>
        <v/>
      </c>
      <c r="Q14" s="37" t="inlineStr">
        <is>
          <t>40 in bar.</t>
        </is>
      </c>
    </row>
    <row r="15" ht="15" customHeight="1" s="26">
      <c r="A15" s="37" t="inlineStr">
        <is>
          <t>M14</t>
        </is>
      </c>
      <c r="B15" s="37" t="inlineStr">
        <is>
          <t>Fabric hardware</t>
        </is>
      </c>
      <c r="C15" s="37" t="inlineStr">
        <is>
          <t>Tension band, 2-7/8 in post</t>
        </is>
      </c>
      <c r="D15" s="37" t="inlineStr">
        <is>
          <t>For 3/4 in tension bar on 2-7/8 in OD post.</t>
        </is>
      </c>
      <c r="E15" s="37" t="inlineStr">
        <is>
          <t>EA</t>
        </is>
      </c>
      <c r="F15" s="40" t="n">
        <v>1.6</v>
      </c>
      <c r="G15" s="41" t="inlineStr">
        <is>
          <t>Reference estimate</t>
        </is>
      </c>
      <c r="H15" s="42" t="n">
        <v>46307</v>
      </c>
      <c r="I15" s="41" t="n"/>
      <c r="J15" s="43" t="n">
        <v>0.1</v>
      </c>
      <c r="K15" s="44">
        <f>IF($A15="","",IF(INDEX(Takeoff_In!$D$2:$D$300,MATCH($A15,Takeoff_In!$A$2:$A$300,0))="",NA(),INDEX(Takeoff_In!$D$2:$D$300,MATCH($A15,Takeoff_In!$A$2:$A$300,0))))</f>
        <v/>
      </c>
      <c r="L15" s="44">
        <f>IF($A15="","",IF(INDEX(Takeoff_In!$E$2:$E$300,MATCH($A15,Takeoff_In!$A$2:$A$300,0))="",NA(),INDEX(Takeoff_In!$E$2:$E$300,MATCH($A15,Takeoff_In!$A$2:$A$300,0))))</f>
        <v/>
      </c>
      <c r="M15" s="45">
        <f>IF($A15="","",IF(ISNUMBER($J15),IF($E15="CU YD",ROUNDUP(K15*(1+$J15),1),ROUNDUP(K15*(1+$J15),0)),NA()))</f>
        <v/>
      </c>
      <c r="N15" s="45">
        <f>IF($A15="","",IF(ISNUMBER($J15),IF($E15="CU YD",ROUNDUP(L15*(1+$J15),1),ROUNDUP(L15*(1+$J15),0)),NA()))</f>
        <v/>
      </c>
      <c r="O15" s="46">
        <f>IF($A15="","",IF(ISNUMBER($F15),M15*$F15,NA()))</f>
        <v/>
      </c>
      <c r="P15" s="46">
        <f>IF($A15="","",IF(ISNUMBER($F15),N15*$F15,NA()))</f>
        <v/>
      </c>
      <c r="Q15" s="37" t="n"/>
    </row>
    <row r="16" ht="15" customHeight="1" s="26">
      <c r="A16" s="37" t="inlineStr">
        <is>
          <t>M15</t>
        </is>
      </c>
      <c r="B16" s="37" t="inlineStr">
        <is>
          <t>Fabric hardware</t>
        </is>
      </c>
      <c r="C16" s="37" t="inlineStr">
        <is>
          <t>Tension band, 2-3/8 in post</t>
        </is>
      </c>
      <c r="D16" s="37" t="inlineStr">
        <is>
          <t>For 3/4 in tension bar on 2-3/8 in OD post (Type B terminals).</t>
        </is>
      </c>
      <c r="E16" s="37" t="inlineStr">
        <is>
          <t>EA</t>
        </is>
      </c>
      <c r="F16" s="40" t="n">
        <v>1.4</v>
      </c>
      <c r="G16" s="41" t="inlineStr">
        <is>
          <t>Reference estimate</t>
        </is>
      </c>
      <c r="H16" s="42" t="n">
        <v>46307</v>
      </c>
      <c r="I16" s="41" t="n"/>
      <c r="J16" s="43" t="n">
        <v>0.1</v>
      </c>
      <c r="K16" s="44">
        <f>IF($A16="","",IF(INDEX(Takeoff_In!$D$2:$D$300,MATCH($A16,Takeoff_In!$A$2:$A$300,0))="",NA(),INDEX(Takeoff_In!$D$2:$D$300,MATCH($A16,Takeoff_In!$A$2:$A$300,0))))</f>
        <v/>
      </c>
      <c r="L16" s="44">
        <f>IF($A16="","",IF(INDEX(Takeoff_In!$E$2:$E$300,MATCH($A16,Takeoff_In!$A$2:$A$300,0))="",NA(),INDEX(Takeoff_In!$E$2:$E$300,MATCH($A16,Takeoff_In!$A$2:$A$300,0))))</f>
        <v/>
      </c>
      <c r="M16" s="45">
        <f>IF($A16="","",IF(ISNUMBER($J16),IF($E16="CU YD",ROUNDUP(K16*(1+$J16),1),ROUNDUP(K16*(1+$J16),0)),NA()))</f>
        <v/>
      </c>
      <c r="N16" s="45">
        <f>IF($A16="","",IF(ISNUMBER($J16),IF($E16="CU YD",ROUNDUP(L16*(1+$J16),1),ROUNDUP(L16*(1+$J16),0)),NA()))</f>
        <v/>
      </c>
      <c r="O16" s="46">
        <f>IF($A16="","",IF(ISNUMBER($F16),M16*$F16,NA()))</f>
        <v/>
      </c>
      <c r="P16" s="46">
        <f>IF($A16="","",IF(ISNUMBER($F16),N16*$F16,NA()))</f>
        <v/>
      </c>
      <c r="Q16" s="37" t="n"/>
    </row>
    <row r="17" ht="15" customHeight="1" s="26">
      <c r="A17" s="37" t="inlineStr">
        <is>
          <t>M16</t>
        </is>
      </c>
      <c r="B17" s="37" t="inlineStr">
        <is>
          <t>Framework</t>
        </is>
      </c>
      <c r="C17" s="37" t="inlineStr">
        <is>
          <t>Post cap, 2-7/8 in</t>
        </is>
      </c>
      <c r="D17" s="37" t="inlineStr">
        <is>
          <t>Galvanized, for 2-7/8 in OD post. Dome vs loop-top not stated ('POST CAP, TYP.').</t>
        </is>
      </c>
      <c r="E17" s="37" t="inlineStr">
        <is>
          <t>EA</t>
        </is>
      </c>
      <c r="F17" s="40" t="n">
        <v>4.75</v>
      </c>
      <c r="G17" s="41" t="inlineStr">
        <is>
          <t>Reference estimate</t>
        </is>
      </c>
      <c r="H17" s="42" t="n">
        <v>46307</v>
      </c>
      <c r="I17" s="41" t="n"/>
      <c r="J17" s="43" t="n">
        <v>0.1</v>
      </c>
      <c r="K17" s="44">
        <f>IF($A17="","",IF(INDEX(Takeoff_In!$D$2:$D$300,MATCH($A17,Takeoff_In!$A$2:$A$300,0))="",NA(),INDEX(Takeoff_In!$D$2:$D$300,MATCH($A17,Takeoff_In!$A$2:$A$300,0))))</f>
        <v/>
      </c>
      <c r="L17" s="44">
        <f>IF($A17="","",IF(INDEX(Takeoff_In!$E$2:$E$300,MATCH($A17,Takeoff_In!$A$2:$A$300,0))="",NA(),INDEX(Takeoff_In!$E$2:$E$300,MATCH($A17,Takeoff_In!$A$2:$A$300,0))))</f>
        <v/>
      </c>
      <c r="M17" s="45">
        <f>IF($A17="","",IF(ISNUMBER($J17),IF($E17="CU YD",ROUNDUP(K17*(1+$J17),1),ROUNDUP(K17*(1+$J17),0)),NA()))</f>
        <v/>
      </c>
      <c r="N17" s="45">
        <f>IF($A17="","",IF(ISNUMBER($J17),IF($E17="CU YD",ROUNDUP(L17*(1+$J17),1),ROUNDUP(L17*(1+$J17),0)),NA()))</f>
        <v/>
      </c>
      <c r="O17" s="46">
        <f>IF($A17="","",IF(ISNUMBER($F17),M17*$F17,NA()))</f>
        <v/>
      </c>
      <c r="P17" s="46">
        <f>IF($A17="","",IF(ISNUMBER($F17),N17*$F17,NA()))</f>
        <v/>
      </c>
      <c r="Q17" s="37" t="n"/>
    </row>
    <row r="18" ht="15" customHeight="1" s="26">
      <c r="A18" s="37" t="inlineStr">
        <is>
          <t>M17</t>
        </is>
      </c>
      <c r="B18" s="37" t="inlineStr">
        <is>
          <t>Framework</t>
        </is>
      </c>
      <c r="C18" s="37" t="inlineStr">
        <is>
          <t>Post cap, 2-3/8 in</t>
        </is>
      </c>
      <c r="D18" s="37" t="inlineStr">
        <is>
          <t>Galvanized, for 2-3/8 in OD post (Type A line posts and Type B terminals). Dome vs loop-top not stated.</t>
        </is>
      </c>
      <c r="E18" s="37" t="inlineStr">
        <is>
          <t>EA</t>
        </is>
      </c>
      <c r="F18" s="40" t="n">
        <v>3.5</v>
      </c>
      <c r="G18" s="41" t="inlineStr">
        <is>
          <t>Reference estimate</t>
        </is>
      </c>
      <c r="H18" s="42" t="n">
        <v>46307</v>
      </c>
      <c r="I18" s="41" t="n"/>
      <c r="J18" s="43" t="n">
        <v>0.1</v>
      </c>
      <c r="K18" s="44">
        <f>IF($A18="","",IF(INDEX(Takeoff_In!$D$2:$D$300,MATCH($A18,Takeoff_In!$A$2:$A$300,0))="",NA(),INDEX(Takeoff_In!$D$2:$D$300,MATCH($A18,Takeoff_In!$A$2:$A$300,0))))</f>
        <v/>
      </c>
      <c r="L18" s="44">
        <f>IF($A18="","",IF(INDEX(Takeoff_In!$E$2:$E$300,MATCH($A18,Takeoff_In!$A$2:$A$300,0))="",NA(),INDEX(Takeoff_In!$E$2:$E$300,MATCH($A18,Takeoff_In!$A$2:$A$300,0))))</f>
        <v/>
      </c>
      <c r="M18" s="45">
        <f>IF($A18="","",IF(ISNUMBER($J18),IF($E18="CU YD",ROUNDUP(K18*(1+$J18),1),ROUNDUP(K18*(1+$J18),0)),NA()))</f>
        <v/>
      </c>
      <c r="N18" s="45">
        <f>IF($A18="","",IF(ISNUMBER($J18),IF($E18="CU YD",ROUNDUP(L18*(1+$J18),1),ROUNDUP(L18*(1+$J18),0)),NA()))</f>
        <v/>
      </c>
      <c r="O18" s="46">
        <f>IF($A18="","",IF(ISNUMBER($F18),M18*$F18,NA()))</f>
        <v/>
      </c>
      <c r="P18" s="46">
        <f>IF($A18="","",IF(ISNUMBER($F18),N18*$F18,NA()))</f>
        <v/>
      </c>
      <c r="Q18" s="37" t="n"/>
    </row>
    <row r="19" ht="15" customHeight="1" s="26">
      <c r="A19" s="37" t="inlineStr">
        <is>
          <t>M18</t>
        </is>
      </c>
      <c r="B19" s="37" t="inlineStr">
        <is>
          <t>Framework</t>
        </is>
      </c>
      <c r="C19" s="37" t="inlineStr">
        <is>
          <t>Post cap, 1-7/8 in</t>
        </is>
      </c>
      <c r="D19" s="37" t="inlineStr">
        <is>
          <t>Galvanized, for 1-7/8 in OD post (Type B line posts).</t>
        </is>
      </c>
      <c r="E19" s="37" t="inlineStr">
        <is>
          <t>EA</t>
        </is>
      </c>
      <c r="F19" s="40" t="n">
        <v>2.75</v>
      </c>
      <c r="G19" s="41" t="inlineStr">
        <is>
          <t>Reference estimate</t>
        </is>
      </c>
      <c r="H19" s="42" t="n">
        <v>46307</v>
      </c>
      <c r="I19" s="41" t="n"/>
      <c r="J19" s="43" t="n">
        <v>0.1</v>
      </c>
      <c r="K19" s="44">
        <f>IF($A19="","",IF(INDEX(Takeoff_In!$D$2:$D$300,MATCH($A19,Takeoff_In!$A$2:$A$300,0))="",NA(),INDEX(Takeoff_In!$D$2:$D$300,MATCH($A19,Takeoff_In!$A$2:$A$300,0))))</f>
        <v/>
      </c>
      <c r="L19" s="44">
        <f>IF($A19="","",IF(INDEX(Takeoff_In!$E$2:$E$300,MATCH($A19,Takeoff_In!$A$2:$A$300,0))="",NA(),INDEX(Takeoff_In!$E$2:$E$300,MATCH($A19,Takeoff_In!$A$2:$A$300,0))))</f>
        <v/>
      </c>
      <c r="M19" s="45">
        <f>IF($A19="","",IF(ISNUMBER($J19),IF($E19="CU YD",ROUNDUP(K19*(1+$J19),1),ROUNDUP(K19*(1+$J19),0)),NA()))</f>
        <v/>
      </c>
      <c r="N19" s="45">
        <f>IF($A19="","",IF(ISNUMBER($J19),IF($E19="CU YD",ROUNDUP(L19*(1+$J19),1),ROUNDUP(L19*(1+$J19),0)),NA()))</f>
        <v/>
      </c>
      <c r="O19" s="46">
        <f>IF($A19="","",IF(ISNUMBER($F19),M19*$F19,NA()))</f>
        <v/>
      </c>
      <c r="P19" s="46">
        <f>IF($A19="","",IF(ISNUMBER($F19),N19*$F19,NA()))</f>
        <v/>
      </c>
      <c r="Q19" s="37" t="n"/>
    </row>
    <row r="20" ht="15" customHeight="1" s="26">
      <c r="A20" s="37" t="inlineStr">
        <is>
          <t>M19</t>
        </is>
      </c>
      <c r="B20" s="37" t="inlineStr">
        <is>
          <t>Fabric</t>
        </is>
      </c>
      <c r="C20" s="37" t="inlineStr">
        <is>
          <t>Chain link fabric, 10 ft</t>
        </is>
      </c>
      <c r="D20" s="37" t="inlineStr">
        <is>
          <t>120 in high, 9 ga core, 2 in mesh, galvanized, KK/KK selvages. Coating class not specified.</t>
        </is>
      </c>
      <c r="E20" s="37" t="inlineStr">
        <is>
          <t>LF</t>
        </is>
      </c>
      <c r="F20" s="40" t="n">
        <v>12.5</v>
      </c>
      <c r="G20" s="41" t="inlineStr">
        <is>
          <t>Reference estimate</t>
        </is>
      </c>
      <c r="H20" s="42" t="n">
        <v>46307</v>
      </c>
      <c r="I20" s="41" t="inlineStr">
        <is>
          <t>reference estimate</t>
        </is>
      </c>
      <c r="J20" s="43" t="n">
        <v>0.05</v>
      </c>
      <c r="K20" s="44">
        <f>IF($A20="","",IF(INDEX(Takeoff_In!$D$2:$D$300,MATCH($A20,Takeoff_In!$A$2:$A$300,0))="",NA(),INDEX(Takeoff_In!$D$2:$D$300,MATCH($A20,Takeoff_In!$A$2:$A$300,0))))</f>
        <v/>
      </c>
      <c r="L20" s="44">
        <f>IF($A20="","",IF(INDEX(Takeoff_In!$E$2:$E$300,MATCH($A20,Takeoff_In!$A$2:$A$300,0))="",NA(),INDEX(Takeoff_In!$E$2:$E$300,MATCH($A20,Takeoff_In!$A$2:$A$300,0))))</f>
        <v/>
      </c>
      <c r="M20" s="45">
        <f>IF($A20="","",IF(ISNUMBER($J20),IF($E20="CU YD",ROUNDUP(K20*(1+$J20),1),ROUNDUP(K20*(1+$J20),0)),NA()))</f>
        <v/>
      </c>
      <c r="N20" s="45">
        <f>IF($A20="","",IF(ISNUMBER($J20),IF($E20="CU YD",ROUNDUP(L20*(1+$J20),1),ROUNDUP(L20*(1+$J20),0)),NA()))</f>
        <v/>
      </c>
      <c r="O20" s="46">
        <f>IF($A20="","",IF(ISNUMBER($F20),M20*$F20,NA()))</f>
        <v/>
      </c>
      <c r="P20" s="46">
        <f>IF($A20="","",IF(ISNUMBER($F20),N20*$F20,NA()))</f>
        <v/>
      </c>
      <c r="Q20" s="37" t="inlineStr">
        <is>
          <t>Fictional reference estimate; not a vendor quote.</t>
        </is>
      </c>
    </row>
    <row r="21" ht="15" customHeight="1" s="26">
      <c r="A21" s="37" t="inlineStr">
        <is>
          <t>M20</t>
        </is>
      </c>
      <c r="B21" s="37" t="inlineStr">
        <is>
          <t>Fabric</t>
        </is>
      </c>
      <c r="C21" s="37" t="inlineStr">
        <is>
          <t>Chain link fabric, 42 in</t>
        </is>
      </c>
      <c r="D21" s="37" t="inlineStr">
        <is>
          <t>42 in high, 9 ga core, 2 in mesh, galvanized, KK/KK selvages.</t>
        </is>
      </c>
      <c r="E21" s="37" t="inlineStr">
        <is>
          <t>LF</t>
        </is>
      </c>
      <c r="F21" s="40" t="n">
        <v>4.75</v>
      </c>
      <c r="G21" s="41" t="inlineStr">
        <is>
          <t>Reference estimate</t>
        </is>
      </c>
      <c r="H21" s="42" t="n">
        <v>46307</v>
      </c>
      <c r="I21" s="41" t="inlineStr">
        <is>
          <t>reference estimate</t>
        </is>
      </c>
      <c r="J21" s="43" t="n">
        <v>0.05</v>
      </c>
      <c r="K21" s="44">
        <f>IF($A21="","",IF(INDEX(Takeoff_In!$D$2:$D$300,MATCH($A21,Takeoff_In!$A$2:$A$300,0))="",NA(),INDEX(Takeoff_In!$D$2:$D$300,MATCH($A21,Takeoff_In!$A$2:$A$300,0))))</f>
        <v/>
      </c>
      <c r="L21" s="44">
        <f>IF($A21="","",IF(INDEX(Takeoff_In!$E$2:$E$300,MATCH($A21,Takeoff_In!$A$2:$A$300,0))="",NA(),INDEX(Takeoff_In!$E$2:$E$300,MATCH($A21,Takeoff_In!$A$2:$A$300,0))))</f>
        <v/>
      </c>
      <c r="M21" s="45">
        <f>IF($A21="","",IF(ISNUMBER($J21),IF($E21="CU YD",ROUNDUP(K21*(1+$J21),1),ROUNDUP(K21*(1+$J21),0)),NA()))</f>
        <v/>
      </c>
      <c r="N21" s="45">
        <f>IF($A21="","",IF(ISNUMBER($J21),IF($E21="CU YD",ROUNDUP(L21*(1+$J21),1),ROUNDUP(L21*(1+$J21),0)),NA()))</f>
        <v/>
      </c>
      <c r="O21" s="46">
        <f>IF($A21="","",IF(ISNUMBER($F21),M21*$F21,NA()))</f>
        <v/>
      </c>
      <c r="P21" s="46">
        <f>IF($A21="","",IF(ISNUMBER($F21),N21*$F21,NA()))</f>
        <v/>
      </c>
      <c r="Q21" s="37" t="inlineStr">
        <is>
          <t>Fictional reference estimate; not a vendor quote.</t>
        </is>
      </c>
    </row>
    <row r="22" ht="15" customHeight="1" s="26">
      <c r="A22" s="37" t="inlineStr">
        <is>
          <t>M21</t>
        </is>
      </c>
      <c r="B22" s="37" t="inlineStr">
        <is>
          <t>Fabric</t>
        </is>
      </c>
      <c r="C22" s="37" t="inlineStr">
        <is>
          <t>Gate leaf fabric</t>
        </is>
      </c>
      <c r="D22" s="37" t="inlineStr">
        <is>
          <t>84 in high (7 ft frame), 9 ga core, 2 in mesh, galvanized. Matches fence fabric.</t>
        </is>
      </c>
      <c r="E22" s="37" t="inlineStr">
        <is>
          <t>LF</t>
        </is>
      </c>
      <c r="F22" s="40" t="n">
        <v>8.75</v>
      </c>
      <c r="G22" s="41" t="inlineStr">
        <is>
          <t>Reference estimate</t>
        </is>
      </c>
      <c r="H22" s="42" t="n">
        <v>46307</v>
      </c>
      <c r="I22" s="41" t="inlineStr">
        <is>
          <t>reference estimate</t>
        </is>
      </c>
      <c r="J22" s="43" t="n">
        <v>0.05</v>
      </c>
      <c r="K22" s="44">
        <f>IF($A22="","",IF(INDEX(Takeoff_In!$D$2:$D$300,MATCH($A22,Takeoff_In!$A$2:$A$300,0))="",NA(),INDEX(Takeoff_In!$D$2:$D$300,MATCH($A22,Takeoff_In!$A$2:$A$300,0))))</f>
        <v/>
      </c>
      <c r="L22" s="44">
        <f>IF($A22="","",IF(INDEX(Takeoff_In!$E$2:$E$300,MATCH($A22,Takeoff_In!$A$2:$A$300,0))="",NA(),INDEX(Takeoff_In!$E$2:$E$300,MATCH($A22,Takeoff_In!$A$2:$A$300,0))))</f>
        <v/>
      </c>
      <c r="M22" s="45">
        <f>IF($A22="","",IF(ISNUMBER($J22),IF($E22="CU YD",ROUNDUP(K22*(1+$J22),1),ROUNDUP(K22*(1+$J22),0)),NA()))</f>
        <v/>
      </c>
      <c r="N22" s="45">
        <f>IF($A22="","",IF(ISNUMBER($J22),IF($E22="CU YD",ROUNDUP(L22*(1+$J22),1),ROUNDUP(L22*(1+$J22),0)),NA()))</f>
        <v/>
      </c>
      <c r="O22" s="46">
        <f>IF($A22="","",IF(ISNUMBER($F22),M22*$F22,NA()))</f>
        <v/>
      </c>
      <c r="P22" s="46">
        <f>IF($A22="","",IF(ISNUMBER($F22),N22*$F22,NA()))</f>
        <v/>
      </c>
      <c r="Q22" s="37" t="inlineStr">
        <is>
          <t>84 in, scaled.</t>
        </is>
      </c>
    </row>
    <row r="23" ht="15" customHeight="1" s="26">
      <c r="A23" s="37" t="inlineStr">
        <is>
          <t>M22</t>
        </is>
      </c>
      <c r="B23" s="37" t="inlineStr">
        <is>
          <t>Fabric</t>
        </is>
      </c>
      <c r="C23" s="37" t="inlineStr">
        <is>
          <t>Transom fabric above gate header</t>
        </is>
      </c>
      <c r="D23" s="37" t="inlineStr">
        <is>
          <t>36 in high, 9 ga core, 2 in mesh, galvanized (10 ft fence minus 7 ft gate).</t>
        </is>
      </c>
      <c r="E23" s="37" t="inlineStr">
        <is>
          <t>LF</t>
        </is>
      </c>
      <c r="F23" s="40" t="n">
        <v>4</v>
      </c>
      <c r="G23" s="41" t="inlineStr">
        <is>
          <t>Reference estimate</t>
        </is>
      </c>
      <c r="H23" s="42" t="n">
        <v>46307</v>
      </c>
      <c r="I23" s="41" t="inlineStr">
        <is>
          <t>reference estimate</t>
        </is>
      </c>
      <c r="J23" s="43" t="n">
        <v>0.05</v>
      </c>
      <c r="K23" s="44">
        <f>IF($A23="","",IF(INDEX(Takeoff_In!$D$2:$D$300,MATCH($A23,Takeoff_In!$A$2:$A$300,0))="",NA(),INDEX(Takeoff_In!$D$2:$D$300,MATCH($A23,Takeoff_In!$A$2:$A$300,0))))</f>
        <v/>
      </c>
      <c r="L23" s="44">
        <f>IF($A23="","",IF(INDEX(Takeoff_In!$E$2:$E$300,MATCH($A23,Takeoff_In!$A$2:$A$300,0))="",NA(),INDEX(Takeoff_In!$E$2:$E$300,MATCH($A23,Takeoff_In!$A$2:$A$300,0))))</f>
        <v/>
      </c>
      <c r="M23" s="45">
        <f>IF($A23="","",IF(ISNUMBER($J23),IF($E23="CU YD",ROUNDUP(K23*(1+$J23),1),ROUNDUP(K23*(1+$J23),0)),NA()))</f>
        <v/>
      </c>
      <c r="N23" s="45">
        <f>IF($A23="","",IF(ISNUMBER($J23),IF($E23="CU YD",ROUNDUP(L23*(1+$J23),1),ROUNDUP(L23*(1+$J23),0)),NA()))</f>
        <v/>
      </c>
      <c r="O23" s="46">
        <f>IF($A23="","",IF(ISNUMBER($F23),M23*$F23,NA()))</f>
        <v/>
      </c>
      <c r="P23" s="46">
        <f>IF($A23="","",IF(ISNUMBER($F23),N23*$F23,NA()))</f>
        <v/>
      </c>
      <c r="Q23" s="37" t="inlineStr">
        <is>
          <t>36 in, scaled.</t>
        </is>
      </c>
    </row>
    <row r="24" ht="15" customHeight="1" s="26">
      <c r="A24" s="37" t="inlineStr">
        <is>
          <t>M23</t>
        </is>
      </c>
      <c r="B24" s="37" t="inlineStr">
        <is>
          <t>Fabric</t>
        </is>
      </c>
      <c r="C24" s="37" t="inlineStr">
        <is>
          <t>Bottom tension wire</t>
        </is>
      </c>
      <c r="D24" s="37" t="inlineStr">
        <is>
          <t>7 ga, galvanized, coil spring. Type A + Type B.</t>
        </is>
      </c>
      <c r="E24" s="37" t="inlineStr">
        <is>
          <t>LF</t>
        </is>
      </c>
      <c r="F24" s="40" t="n">
        <v>0.25</v>
      </c>
      <c r="G24" s="41" t="inlineStr">
        <is>
          <t>Reference estimate</t>
        </is>
      </c>
      <c r="H24" s="42" t="n">
        <v>46307</v>
      </c>
      <c r="I24" s="41" t="n"/>
      <c r="J24" s="43" t="n">
        <v>0.05</v>
      </c>
      <c r="K24" s="44">
        <f>IF($A24="","",IF(INDEX(Takeoff_In!$D$2:$D$300,MATCH($A24,Takeoff_In!$A$2:$A$300,0))="",NA(),INDEX(Takeoff_In!$D$2:$D$300,MATCH($A24,Takeoff_In!$A$2:$A$300,0))))</f>
        <v/>
      </c>
      <c r="L24" s="44">
        <f>IF($A24="","",IF(INDEX(Takeoff_In!$E$2:$E$300,MATCH($A24,Takeoff_In!$A$2:$A$300,0))="",NA(),INDEX(Takeoff_In!$E$2:$E$300,MATCH($A24,Takeoff_In!$A$2:$A$300,0))))</f>
        <v/>
      </c>
      <c r="M24" s="45">
        <f>IF($A24="","",IF(ISNUMBER($J24),IF($E24="CU YD",ROUNDUP(K24*(1+$J24),1),ROUNDUP(K24*(1+$J24),0)),NA()))</f>
        <v/>
      </c>
      <c r="N24" s="45">
        <f>IF($A24="","",IF(ISNUMBER($J24),IF($E24="CU YD",ROUNDUP(L24*(1+$J24),1),ROUNDUP(L24*(1+$J24),0)),NA()))</f>
        <v/>
      </c>
      <c r="O24" s="46">
        <f>IF($A24="","",IF(ISNUMBER($F24),M24*$F24,NA()))</f>
        <v/>
      </c>
      <c r="P24" s="46">
        <f>IF($A24="","",IF(ISNUMBER($F24),N24*$F24,NA()))</f>
        <v/>
      </c>
      <c r="Q24" s="37" t="inlineStr">
        <is>
          <t>7 ga coil.</t>
        </is>
      </c>
    </row>
    <row r="25" ht="15" customHeight="1" s="26">
      <c r="A25" s="37" t="inlineStr">
        <is>
          <t>M24</t>
        </is>
      </c>
      <c r="B25" s="37" t="inlineStr">
        <is>
          <t>Fabric hardware</t>
        </is>
      </c>
      <c r="C25" s="37" t="inlineStr">
        <is>
          <t>Fabric tie, 2-3/8 in post (Type A line)</t>
        </is>
      </c>
      <c r="D25" s="37" t="inlineStr">
        <is>
          <t>9 ga aluminum tie wire, pre-formed for 2-3/8 in OD post.</t>
        </is>
      </c>
      <c r="E25" s="37" t="inlineStr">
        <is>
          <t>EA</t>
        </is>
      </c>
      <c r="F25" s="40" t="n">
        <v>0.28</v>
      </c>
      <c r="G25" s="41" t="inlineStr">
        <is>
          <t>Reference estimate</t>
        </is>
      </c>
      <c r="H25" s="42" t="n">
        <v>46307</v>
      </c>
      <c r="I25" s="41" t="n"/>
      <c r="J25" s="43" t="n">
        <v>0.1</v>
      </c>
      <c r="K25" s="44">
        <f>IF($A25="","",IF(INDEX(Takeoff_In!$D$2:$D$300,MATCH($A25,Takeoff_In!$A$2:$A$300,0))="",NA(),INDEX(Takeoff_In!$D$2:$D$300,MATCH($A25,Takeoff_In!$A$2:$A$300,0))))</f>
        <v/>
      </c>
      <c r="L25" s="44">
        <f>IF($A25="","",IF(INDEX(Takeoff_In!$E$2:$E$300,MATCH($A25,Takeoff_In!$A$2:$A$300,0))="",NA(),INDEX(Takeoff_In!$E$2:$E$300,MATCH($A25,Takeoff_In!$A$2:$A$300,0))))</f>
        <v/>
      </c>
      <c r="M25" s="45">
        <f>IF($A25="","",IF(ISNUMBER($J25),IF($E25="CU YD",ROUNDUP(K25*(1+$J25),1),ROUNDUP(K25*(1+$J25),0)),NA()))</f>
        <v/>
      </c>
      <c r="N25" s="45">
        <f>IF($A25="","",IF(ISNUMBER($J25),IF($E25="CU YD",ROUNDUP(L25*(1+$J25),1),ROUNDUP(L25*(1+$J25),0)),NA()))</f>
        <v/>
      </c>
      <c r="O25" s="46">
        <f>IF($A25="","",IF(ISNUMBER($F25),M25*$F25,NA()))</f>
        <v/>
      </c>
      <c r="P25" s="46">
        <f>IF($A25="","",IF(ISNUMBER($F25),N25*$F25,NA()))</f>
        <v/>
      </c>
      <c r="Q25" s="37" t="n"/>
    </row>
    <row r="26" ht="15" customHeight="1" s="26">
      <c r="A26" s="37" t="inlineStr">
        <is>
          <t>M25</t>
        </is>
      </c>
      <c r="B26" s="37" t="inlineStr">
        <is>
          <t>Fabric hardware</t>
        </is>
      </c>
      <c r="C26" s="37" t="inlineStr">
        <is>
          <t>Fabric tie, 1-7/8 in post (Type B line)</t>
        </is>
      </c>
      <c r="D26" s="37" t="inlineStr">
        <is>
          <t>9 ga aluminum tie wire, pre-formed for 1-7/8 in OD post.</t>
        </is>
      </c>
      <c r="E26" s="37" t="inlineStr">
        <is>
          <t>EA</t>
        </is>
      </c>
      <c r="F26" s="40" t="n">
        <v>0.26</v>
      </c>
      <c r="G26" s="41" t="inlineStr">
        <is>
          <t>Reference estimate</t>
        </is>
      </c>
      <c r="H26" s="42" t="n">
        <v>46307</v>
      </c>
      <c r="I26" s="41" t="n"/>
      <c r="J26" s="43" t="n">
        <v>0.1</v>
      </c>
      <c r="K26" s="44">
        <f>IF($A26="","",IF(INDEX(Takeoff_In!$D$2:$D$300,MATCH($A26,Takeoff_In!$A$2:$A$300,0))="",NA(),INDEX(Takeoff_In!$D$2:$D$300,MATCH($A26,Takeoff_In!$A$2:$A$300,0))))</f>
        <v/>
      </c>
      <c r="L26" s="44">
        <f>IF($A26="","",IF(INDEX(Takeoff_In!$E$2:$E$300,MATCH($A26,Takeoff_In!$A$2:$A$300,0))="",NA(),INDEX(Takeoff_In!$E$2:$E$300,MATCH($A26,Takeoff_In!$A$2:$A$300,0))))</f>
        <v/>
      </c>
      <c r="M26" s="45">
        <f>IF($A26="","",IF(ISNUMBER($J26),IF($E26="CU YD",ROUNDUP(K26*(1+$J26),1),ROUNDUP(K26*(1+$J26),0)),NA()))</f>
        <v/>
      </c>
      <c r="N26" s="45">
        <f>IF($A26="","",IF(ISNUMBER($J26),IF($E26="CU YD",ROUNDUP(L26*(1+$J26),1),ROUNDUP(L26*(1+$J26),0)),NA()))</f>
        <v/>
      </c>
      <c r="O26" s="46">
        <f>IF($A26="","",IF(ISNUMBER($F26),M26*$F26,NA()))</f>
        <v/>
      </c>
      <c r="P26" s="46">
        <f>IF($A26="","",IF(ISNUMBER($F26),N26*$F26,NA()))</f>
        <v/>
      </c>
      <c r="Q26" s="37" t="n"/>
    </row>
    <row r="27" ht="15" customHeight="1" s="26">
      <c r="A27" s="37" t="inlineStr">
        <is>
          <t>M26</t>
        </is>
      </c>
      <c r="B27" s="37" t="inlineStr">
        <is>
          <t>Fabric hardware</t>
        </is>
      </c>
      <c r="C27" s="37" t="inlineStr">
        <is>
          <t>Fabric tie, 1-5/8 in rail</t>
        </is>
      </c>
      <c r="D27" s="37" t="inlineStr">
        <is>
          <t>9 ga aluminum tie wire, pre-formed for 1-5/8 in OD rail.</t>
        </is>
      </c>
      <c r="E27" s="37" t="inlineStr">
        <is>
          <t>EA</t>
        </is>
      </c>
      <c r="F27" s="40" t="n">
        <v>0.22</v>
      </c>
      <c r="G27" s="41" t="inlineStr">
        <is>
          <t>Reference estimate</t>
        </is>
      </c>
      <c r="H27" s="42" t="n">
        <v>46307</v>
      </c>
      <c r="I27" s="41" t="n"/>
      <c r="J27" s="43" t="n">
        <v>0.1</v>
      </c>
      <c r="K27" s="44">
        <f>IF($A27="","",IF(INDEX(Takeoff_In!$D$2:$D$300,MATCH($A27,Takeoff_In!$A$2:$A$300,0))="",NA(),INDEX(Takeoff_In!$D$2:$D$300,MATCH($A27,Takeoff_In!$A$2:$A$300,0))))</f>
        <v/>
      </c>
      <c r="L27" s="44">
        <f>IF($A27="","",IF(INDEX(Takeoff_In!$E$2:$E$300,MATCH($A27,Takeoff_In!$A$2:$A$300,0))="",NA(),INDEX(Takeoff_In!$E$2:$E$300,MATCH($A27,Takeoff_In!$A$2:$A$300,0))))</f>
        <v/>
      </c>
      <c r="M27" s="45">
        <f>IF($A27="","",IF(ISNUMBER($J27),IF($E27="CU YD",ROUNDUP(K27*(1+$J27),1),ROUNDUP(K27*(1+$J27),0)),NA()))</f>
        <v/>
      </c>
      <c r="N27" s="45">
        <f>IF($A27="","",IF(ISNUMBER($J27),IF($E27="CU YD",ROUNDUP(L27*(1+$J27),1),ROUNDUP(L27*(1+$J27),0)),NA()))</f>
        <v/>
      </c>
      <c r="O27" s="46">
        <f>IF($A27="","",IF(ISNUMBER($F27),M27*$F27,NA()))</f>
        <v/>
      </c>
      <c r="P27" s="46">
        <f>IF($A27="","",IF(ISNUMBER($F27),N27*$F27,NA()))</f>
        <v/>
      </c>
      <c r="Q27" s="37" t="n"/>
    </row>
    <row r="28" ht="15" customHeight="1" s="26">
      <c r="A28" s="37" t="inlineStr">
        <is>
          <t>M27</t>
        </is>
      </c>
      <c r="B28" s="37" t="inlineStr">
        <is>
          <t>Fabric hardware</t>
        </is>
      </c>
      <c r="C28" s="37" t="inlineStr">
        <is>
          <t>Tension wire tie / hog ring</t>
        </is>
      </c>
      <c r="D28" s="37" t="inlineStr">
        <is>
          <t>9 ga aluminum tie or hog ring for 7 ga tension wire.</t>
        </is>
      </c>
      <c r="E28" s="37" t="inlineStr">
        <is>
          <t>EA</t>
        </is>
      </c>
      <c r="F28" s="40" t="n">
        <v>0.07000000000000001</v>
      </c>
      <c r="G28" s="41" t="inlineStr">
        <is>
          <t>Reference estimate</t>
        </is>
      </c>
      <c r="H28" s="42" t="n">
        <v>46307</v>
      </c>
      <c r="I28" s="41" t="n"/>
      <c r="J28" s="43" t="n">
        <v>0.1</v>
      </c>
      <c r="K28" s="44">
        <f>IF($A28="","",IF(INDEX(Takeoff_In!$D$2:$D$300,MATCH($A28,Takeoff_In!$A$2:$A$300,0))="",NA(),INDEX(Takeoff_In!$D$2:$D$300,MATCH($A28,Takeoff_In!$A$2:$A$300,0))))</f>
        <v/>
      </c>
      <c r="L28" s="44">
        <f>IF($A28="","",IF(INDEX(Takeoff_In!$E$2:$E$300,MATCH($A28,Takeoff_In!$A$2:$A$300,0))="",NA(),INDEX(Takeoff_In!$E$2:$E$300,MATCH($A28,Takeoff_In!$A$2:$A$300,0))))</f>
        <v/>
      </c>
      <c r="M28" s="45">
        <f>IF($A28="","",IF(ISNUMBER($J28),IF($E28="CU YD",ROUNDUP(K28*(1+$J28),1),ROUNDUP(K28*(1+$J28),0)),NA()))</f>
        <v/>
      </c>
      <c r="N28" s="45">
        <f>IF($A28="","",IF(ISNUMBER($J28),IF($E28="CU YD",ROUNDUP(L28*(1+$J28),1),ROUNDUP(L28*(1+$J28),0)),NA()))</f>
        <v/>
      </c>
      <c r="O28" s="46">
        <f>IF($A28="","",IF(ISNUMBER($F28),M28*$F28,NA()))</f>
        <v/>
      </c>
      <c r="P28" s="46">
        <f>IF($A28="","",IF(ISNUMBER($F28),N28*$F28,NA()))</f>
        <v/>
      </c>
      <c r="Q28" s="37" t="n"/>
    </row>
    <row r="29" ht="15" customHeight="1" s="26">
      <c r="A29" s="37" t="inlineStr">
        <is>
          <t>M28</t>
        </is>
      </c>
      <c r="B29" s="37" t="inlineStr">
        <is>
          <t>Gates</t>
        </is>
      </c>
      <c r="C29" s="37" t="inlineStr">
        <is>
          <t>Gate frame pipe</t>
        </is>
      </c>
      <c r="D29" s="37" t="inlineStr">
        <is>
          <t>1-7/8 in OD (nominal 1.900), galvanized. Leaf = 2 verticals + 3 horizontals.</t>
        </is>
      </c>
      <c r="E29" s="37" t="inlineStr">
        <is>
          <t>LF</t>
        </is>
      </c>
      <c r="F29" s="40" t="n">
        <v>3.2</v>
      </c>
      <c r="G29" s="41" t="inlineStr">
        <is>
          <t>Reference estimate</t>
        </is>
      </c>
      <c r="H29" s="42" t="n">
        <v>46307</v>
      </c>
      <c r="I29" s="41" t="n"/>
      <c r="J29" s="43" t="n">
        <v>0</v>
      </c>
      <c r="K29" s="44">
        <f>IF($A29="","",IF(INDEX(Takeoff_In!$D$2:$D$300,MATCH($A29,Takeoff_In!$A$2:$A$300,0))="",NA(),INDEX(Takeoff_In!$D$2:$D$300,MATCH($A29,Takeoff_In!$A$2:$A$300,0))))</f>
        <v/>
      </c>
      <c r="L29" s="44">
        <f>IF($A29="","",IF(INDEX(Takeoff_In!$E$2:$E$300,MATCH($A29,Takeoff_In!$A$2:$A$300,0))="",NA(),INDEX(Takeoff_In!$E$2:$E$300,MATCH($A29,Takeoff_In!$A$2:$A$300,0))))</f>
        <v/>
      </c>
      <c r="M29" s="45">
        <f>IF($A29="","",IF(ISNUMBER($J29),IF($E29="CU YD",ROUNDUP(K29*(1+$J29),1),ROUNDUP(K29*(1+$J29),0)),NA()))</f>
        <v/>
      </c>
      <c r="N29" s="45">
        <f>IF($A29="","",IF(ISNUMBER($J29),IF($E29="CU YD",ROUNDUP(L29*(1+$J29),1),ROUNDUP(L29*(1+$J29),0)),NA()))</f>
        <v/>
      </c>
      <c r="O29" s="46">
        <f>IF($A29="","",IF(ISNUMBER($F29),M29*$F29,NA()))</f>
        <v/>
      </c>
      <c r="P29" s="46">
        <f>IF($A29="","",IF(ISNUMBER($F29),N29*$F29,NA()))</f>
        <v/>
      </c>
      <c r="Q29" s="37" t="inlineStr">
        <is>
          <t>1-7/8 gate pipe per LF.</t>
        </is>
      </c>
    </row>
    <row r="30" ht="15" customHeight="1" s="26">
      <c r="A30" s="37" t="inlineStr">
        <is>
          <t>M29</t>
        </is>
      </c>
      <c r="B30" s="37" t="inlineStr">
        <is>
          <t>Gates</t>
        </is>
      </c>
      <c r="C30" s="37" t="inlineStr">
        <is>
          <t>Gate frame elbow</t>
        </is>
      </c>
      <c r="D30" s="37" t="inlineStr">
        <is>
          <t>1-7/8 in OD, galvanized (fitted corners option).</t>
        </is>
      </c>
      <c r="E30" s="37" t="inlineStr">
        <is>
          <t>EA</t>
        </is>
      </c>
      <c r="F30" s="40" t="n">
        <v>7.5</v>
      </c>
      <c r="G30" s="41" t="inlineStr">
        <is>
          <t>Reference estimate</t>
        </is>
      </c>
      <c r="H30" s="42" t="n">
        <v>46307</v>
      </c>
      <c r="I30" s="41" t="n"/>
      <c r="J30" s="43" t="n">
        <v>0</v>
      </c>
      <c r="K30" s="44">
        <f>IF($A30="","",IF(INDEX(Takeoff_In!$D$2:$D$300,MATCH($A30,Takeoff_In!$A$2:$A$300,0))="",NA(),INDEX(Takeoff_In!$D$2:$D$300,MATCH($A30,Takeoff_In!$A$2:$A$300,0))))</f>
        <v/>
      </c>
      <c r="L30" s="44">
        <f>IF($A30="","",IF(INDEX(Takeoff_In!$E$2:$E$300,MATCH($A30,Takeoff_In!$A$2:$A$300,0))="",NA(),INDEX(Takeoff_In!$E$2:$E$300,MATCH($A30,Takeoff_In!$A$2:$A$300,0))))</f>
        <v/>
      </c>
      <c r="M30" s="45">
        <f>IF($A30="","",IF(ISNUMBER($J30),IF($E30="CU YD",ROUNDUP(K30*(1+$J30),1),ROUNDUP(K30*(1+$J30),0)),NA()))</f>
        <v/>
      </c>
      <c r="N30" s="45">
        <f>IF($A30="","",IF(ISNUMBER($J30),IF($E30="CU YD",ROUNDUP(L30*(1+$J30),1),ROUNDUP(L30*(1+$J30),0)),NA()))</f>
        <v/>
      </c>
      <c r="O30" s="46">
        <f>IF($A30="","",IF(ISNUMBER($F30),M30*$F30,NA()))</f>
        <v/>
      </c>
      <c r="P30" s="46">
        <f>IF($A30="","",IF(ISNUMBER($F30),N30*$F30,NA()))</f>
        <v/>
      </c>
      <c r="Q30" s="37" t="n"/>
    </row>
    <row r="31" ht="15" customHeight="1" s="26">
      <c r="A31" s="37" t="inlineStr">
        <is>
          <t>M30</t>
        </is>
      </c>
      <c r="B31" s="37" t="inlineStr">
        <is>
          <t>Gates</t>
        </is>
      </c>
      <c r="C31" s="37" t="inlineStr">
        <is>
          <t>Gate frame tee</t>
        </is>
      </c>
      <c r="D31" s="37" t="inlineStr">
        <is>
          <t>1-7/8 in OD, galvanized (mid rail connection).</t>
        </is>
      </c>
      <c r="E31" s="37" t="inlineStr">
        <is>
          <t>EA</t>
        </is>
      </c>
      <c r="F31" s="40" t="n">
        <v>9.5</v>
      </c>
      <c r="G31" s="41" t="inlineStr">
        <is>
          <t>Reference estimate</t>
        </is>
      </c>
      <c r="H31" s="42" t="n">
        <v>46307</v>
      </c>
      <c r="I31" s="41" t="n"/>
      <c r="J31" s="43" t="n">
        <v>0</v>
      </c>
      <c r="K31" s="44">
        <f>IF($A31="","",IF(INDEX(Takeoff_In!$D$2:$D$300,MATCH($A31,Takeoff_In!$A$2:$A$300,0))="",NA(),INDEX(Takeoff_In!$D$2:$D$300,MATCH($A31,Takeoff_In!$A$2:$A$300,0))))</f>
        <v/>
      </c>
      <c r="L31" s="44">
        <f>IF($A31="","",IF(INDEX(Takeoff_In!$E$2:$E$300,MATCH($A31,Takeoff_In!$A$2:$A$300,0))="",NA(),INDEX(Takeoff_In!$E$2:$E$300,MATCH($A31,Takeoff_In!$A$2:$A$300,0))))</f>
        <v/>
      </c>
      <c r="M31" s="45">
        <f>IF($A31="","",IF(ISNUMBER($J31),IF($E31="CU YD",ROUNDUP(K31*(1+$J31),1),ROUNDUP(K31*(1+$J31),0)),NA()))</f>
        <v/>
      </c>
      <c r="N31" s="45">
        <f>IF($A31="","",IF(ISNUMBER($J31),IF($E31="CU YD",ROUNDUP(L31*(1+$J31),1),ROUNDUP(L31*(1+$J31),0)),NA()))</f>
        <v/>
      </c>
      <c r="O31" s="46">
        <f>IF($A31="","",IF(ISNUMBER($F31),M31*$F31,NA()))</f>
        <v/>
      </c>
      <c r="P31" s="46">
        <f>IF($A31="","",IF(ISNUMBER($F31),N31*$F31,NA()))</f>
        <v/>
      </c>
      <c r="Q31" s="37" t="n"/>
    </row>
    <row r="32" ht="15" customHeight="1" s="26">
      <c r="A32" s="37" t="inlineStr">
        <is>
          <t>M31</t>
        </is>
      </c>
      <c r="B32" s="37" t="inlineStr">
        <is>
          <t>Gates</t>
        </is>
      </c>
      <c r="C32" s="37" t="inlineStr">
        <is>
          <t>Truss rod, gate leaf, adjustable</t>
        </is>
      </c>
      <c r="D32" s="37" t="inlineStr">
        <is>
          <t>3/8 in dia, adjustable, galvanized, one diagonal per leaf.</t>
        </is>
      </c>
      <c r="E32" s="37" t="inlineStr">
        <is>
          <t>EA</t>
        </is>
      </c>
      <c r="F32" s="40" t="n">
        <v>11.5</v>
      </c>
      <c r="G32" s="41" t="inlineStr">
        <is>
          <t>Reference estimate</t>
        </is>
      </c>
      <c r="H32" s="42" t="n">
        <v>46307</v>
      </c>
      <c r="I32" s="41" t="n"/>
      <c r="J32" s="43" t="n">
        <v>0</v>
      </c>
      <c r="K32" s="44">
        <f>IF($A32="","",IF(INDEX(Takeoff_In!$D$2:$D$300,MATCH($A32,Takeoff_In!$A$2:$A$300,0))="",NA(),INDEX(Takeoff_In!$D$2:$D$300,MATCH($A32,Takeoff_In!$A$2:$A$300,0))))</f>
        <v/>
      </c>
      <c r="L32" s="44">
        <f>IF($A32="","",IF(INDEX(Takeoff_In!$E$2:$E$300,MATCH($A32,Takeoff_In!$A$2:$A$300,0))="",NA(),INDEX(Takeoff_In!$E$2:$E$300,MATCH($A32,Takeoff_In!$A$2:$A$300,0))))</f>
        <v/>
      </c>
      <c r="M32" s="45">
        <f>IF($A32="","",IF(ISNUMBER($J32),IF($E32="CU YD",ROUNDUP(K32*(1+$J32),1),ROUNDUP(K32*(1+$J32),0)),NA()))</f>
        <v/>
      </c>
      <c r="N32" s="45">
        <f>IF($A32="","",IF(ISNUMBER($J32),IF($E32="CU YD",ROUNDUP(L32*(1+$J32),1),ROUNDUP(L32*(1+$J32),0)),NA()))</f>
        <v/>
      </c>
      <c r="O32" s="46">
        <f>IF($A32="","",IF(ISNUMBER($F32),M32*$F32,NA()))</f>
        <v/>
      </c>
      <c r="P32" s="46">
        <f>IF($A32="","",IF(ISNUMBER($F32),N32*$F32,NA()))</f>
        <v/>
      </c>
      <c r="Q32" s="37" t="n"/>
    </row>
    <row r="33" ht="15" customHeight="1" s="26">
      <c r="A33" s="37" t="inlineStr">
        <is>
          <t>M32</t>
        </is>
      </c>
      <c r="B33" s="37" t="inlineStr">
        <is>
          <t>Gates</t>
        </is>
      </c>
      <c r="C33" s="37" t="inlineStr">
        <is>
          <t>Gate hinge, 180 degree</t>
        </is>
      </c>
      <c r="D33" s="37" t="inlineStr">
        <is>
          <t>Malleable, 3 per leaf, to suit 2-7/8 in post and 1-7/8 in frame.</t>
        </is>
      </c>
      <c r="E33" s="37" t="inlineStr">
        <is>
          <t>EA</t>
        </is>
      </c>
      <c r="F33" s="40" t="n">
        <v>12</v>
      </c>
      <c r="G33" s="41" t="inlineStr">
        <is>
          <t>Reference estimate</t>
        </is>
      </c>
      <c r="H33" s="42" t="n">
        <v>46307</v>
      </c>
      <c r="I33" s="41" t="n"/>
      <c r="J33" s="43" t="n">
        <v>0</v>
      </c>
      <c r="K33" s="44">
        <f>IF($A33="","",IF(INDEX(Takeoff_In!$D$2:$D$300,MATCH($A33,Takeoff_In!$A$2:$A$300,0))="",NA(),INDEX(Takeoff_In!$D$2:$D$300,MATCH($A33,Takeoff_In!$A$2:$A$300,0))))</f>
        <v/>
      </c>
      <c r="L33" s="44">
        <f>IF($A33="","",IF(INDEX(Takeoff_In!$E$2:$E$300,MATCH($A33,Takeoff_In!$A$2:$A$300,0))="",NA(),INDEX(Takeoff_In!$E$2:$E$300,MATCH($A33,Takeoff_In!$A$2:$A$300,0))))</f>
        <v/>
      </c>
      <c r="M33" s="45">
        <f>IF($A33="","",IF(ISNUMBER($J33),IF($E33="CU YD",ROUNDUP(K33*(1+$J33),1),ROUNDUP(K33*(1+$J33),0)),NA()))</f>
        <v/>
      </c>
      <c r="N33" s="45">
        <f>IF($A33="","",IF(ISNUMBER($J33),IF($E33="CU YD",ROUNDUP(L33*(1+$J33),1),ROUNDUP(L33*(1+$J33),0)),NA()))</f>
        <v/>
      </c>
      <c r="O33" s="46">
        <f>IF($A33="","",IF(ISNUMBER($F33),M33*$F33,NA()))</f>
        <v/>
      </c>
      <c r="P33" s="46">
        <f>IF($A33="","",IF(ISNUMBER($F33),N33*$F33,NA()))</f>
        <v/>
      </c>
      <c r="Q33" s="37" t="inlineStr">
        <is>
          <t>Per hinge.</t>
        </is>
      </c>
    </row>
    <row r="34" ht="15" customHeight="1" s="26">
      <c r="A34" s="37" t="inlineStr">
        <is>
          <t>M33</t>
        </is>
      </c>
      <c r="B34" s="37" t="inlineStr">
        <is>
          <t>Gates</t>
        </is>
      </c>
      <c r="C34" s="37" t="inlineStr">
        <is>
          <t>Gate latch, industrial fork with padlock eye</t>
        </is>
      </c>
      <c r="D34" s="37" t="inlineStr">
        <is>
          <t>Galvanized, for 1-7/8 in frame.</t>
        </is>
      </c>
      <c r="E34" s="37" t="inlineStr">
        <is>
          <t>EA</t>
        </is>
      </c>
      <c r="F34" s="40" t="n">
        <v>24</v>
      </c>
      <c r="G34" s="41" t="inlineStr">
        <is>
          <t>Reference estimate</t>
        </is>
      </c>
      <c r="H34" s="42" t="n">
        <v>46307</v>
      </c>
      <c r="I34" s="41" t="n"/>
      <c r="J34" s="43" t="n">
        <v>0</v>
      </c>
      <c r="K34" s="44">
        <f>IF($A34="","",IF(INDEX(Takeoff_In!$D$2:$D$300,MATCH($A34,Takeoff_In!$A$2:$A$300,0))="",NA(),INDEX(Takeoff_In!$D$2:$D$300,MATCH($A34,Takeoff_In!$A$2:$A$300,0))))</f>
        <v/>
      </c>
      <c r="L34" s="44">
        <f>IF($A34="","",IF(INDEX(Takeoff_In!$E$2:$E$300,MATCH($A34,Takeoff_In!$A$2:$A$300,0))="",NA(),INDEX(Takeoff_In!$E$2:$E$300,MATCH($A34,Takeoff_In!$A$2:$A$300,0))))</f>
        <v/>
      </c>
      <c r="M34" s="45">
        <f>IF($A34="","",IF(ISNUMBER($J34),IF($E34="CU YD",ROUNDUP(K34*(1+$J34),1),ROUNDUP(K34*(1+$J34),0)),NA()))</f>
        <v/>
      </c>
      <c r="N34" s="45">
        <f>IF($A34="","",IF(ISNUMBER($J34),IF($E34="CU YD",ROUNDUP(L34*(1+$J34),1),ROUNDUP(L34*(1+$J34),0)),NA()))</f>
        <v/>
      </c>
      <c r="O34" s="46">
        <f>IF($A34="","",IF(ISNUMBER($F34),M34*$F34,NA()))</f>
        <v/>
      </c>
      <c r="P34" s="46">
        <f>IF($A34="","",IF(ISNUMBER($F34),N34*$F34,NA()))</f>
        <v/>
      </c>
      <c r="Q34" s="37" t="n"/>
    </row>
    <row r="35" ht="15" customHeight="1" s="26">
      <c r="A35" s="37" t="inlineStr">
        <is>
          <t>M34</t>
        </is>
      </c>
      <c r="B35" s="37" t="inlineStr">
        <is>
          <t>Gates</t>
        </is>
      </c>
      <c r="C35" s="37" t="inlineStr">
        <is>
          <t>Gate hold-back / stop</t>
        </is>
      </c>
      <c r="D35" s="37" t="inlineStr">
        <is>
          <t>Galvanized, per spec 32 31 13 (spec not provided).</t>
        </is>
      </c>
      <c r="E35" s="37" t="inlineStr">
        <is>
          <t>EA</t>
        </is>
      </c>
      <c r="F35" s="40" t="n">
        <v>22</v>
      </c>
      <c r="G35" s="41" t="inlineStr">
        <is>
          <t>Reference estimate</t>
        </is>
      </c>
      <c r="H35" s="42" t="n">
        <v>46307</v>
      </c>
      <c r="I35" s="41" t="n"/>
      <c r="J35" s="43" t="n">
        <v>0</v>
      </c>
      <c r="K35" s="44">
        <f>IF($A35="","",IF(INDEX(Takeoff_In!$D$2:$D$300,MATCH($A35,Takeoff_In!$A$2:$A$300,0))="",NA(),INDEX(Takeoff_In!$D$2:$D$300,MATCH($A35,Takeoff_In!$A$2:$A$300,0))))</f>
        <v/>
      </c>
      <c r="L35" s="44">
        <f>IF($A35="","",IF(INDEX(Takeoff_In!$E$2:$E$300,MATCH($A35,Takeoff_In!$A$2:$A$300,0))="",NA(),INDEX(Takeoff_In!$E$2:$E$300,MATCH($A35,Takeoff_In!$A$2:$A$300,0))))</f>
        <v/>
      </c>
      <c r="M35" s="45">
        <f>IF($A35="","",IF(ISNUMBER($J35),IF($E35="CU YD",ROUNDUP(K35*(1+$J35),1),ROUNDUP(K35*(1+$J35),0)),NA()))</f>
        <v/>
      </c>
      <c r="N35" s="45">
        <f>IF($A35="","",IF(ISNUMBER($J35),IF($E35="CU YD",ROUNDUP(L35*(1+$J35),1),ROUNDUP(L35*(1+$J35),0)),NA()))</f>
        <v/>
      </c>
      <c r="O35" s="46">
        <f>IF($A35="","",IF(ISNUMBER($F35),M35*$F35,NA()))</f>
        <v/>
      </c>
      <c r="P35" s="46">
        <f>IF($A35="","",IF(ISNUMBER($F35),N35*$F35,NA()))</f>
        <v/>
      </c>
      <c r="Q35" s="37" t="n"/>
    </row>
    <row r="36" ht="15" customHeight="1" s="26">
      <c r="A36" s="37" t="inlineStr">
        <is>
          <t>M35</t>
        </is>
      </c>
      <c r="B36" s="37" t="inlineStr">
        <is>
          <t>Gates</t>
        </is>
      </c>
      <c r="C36" s="37" t="inlineStr">
        <is>
          <t>Header rail</t>
        </is>
      </c>
      <c r="D36" s="37" t="inlineStr">
        <is>
          <t>1-5/8 in OD, galvanized, across each opening.</t>
        </is>
      </c>
      <c r="E36" s="37" t="inlineStr">
        <is>
          <t>LF</t>
        </is>
      </c>
      <c r="F36" s="40" t="n">
        <v>1.9</v>
      </c>
      <c r="G36" s="41" t="inlineStr">
        <is>
          <t>Reference estimate</t>
        </is>
      </c>
      <c r="H36" s="42" t="n">
        <v>46307</v>
      </c>
      <c r="I36" s="41" t="n"/>
      <c r="J36" s="43" t="n">
        <v>0.05</v>
      </c>
      <c r="K36" s="44">
        <f>IF($A36="","",IF(INDEX(Takeoff_In!$D$2:$D$300,MATCH($A36,Takeoff_In!$A$2:$A$300,0))="",NA(),INDEX(Takeoff_In!$D$2:$D$300,MATCH($A36,Takeoff_In!$A$2:$A$300,0))))</f>
        <v/>
      </c>
      <c r="L36" s="44">
        <f>IF($A36="","",IF(INDEX(Takeoff_In!$E$2:$E$300,MATCH($A36,Takeoff_In!$A$2:$A$300,0))="",NA(),INDEX(Takeoff_In!$E$2:$E$300,MATCH($A36,Takeoff_In!$A$2:$A$300,0))))</f>
        <v/>
      </c>
      <c r="M36" s="45">
        <f>IF($A36="","",IF(ISNUMBER($J36),IF($E36="CU YD",ROUNDUP(K36*(1+$J36),1),ROUNDUP(K36*(1+$J36),0)),NA()))</f>
        <v/>
      </c>
      <c r="N36" s="45">
        <f>IF($A36="","",IF(ISNUMBER($J36),IF($E36="CU YD",ROUNDUP(L36*(1+$J36),1),ROUNDUP(L36*(1+$J36),0)),NA()))</f>
        <v/>
      </c>
      <c r="O36" s="46">
        <f>IF($A36="","",IF(ISNUMBER($F36),M36*$F36,NA()))</f>
        <v/>
      </c>
      <c r="P36" s="46">
        <f>IF($A36="","",IF(ISNUMBER($F36),N36*$F36,NA()))</f>
        <v/>
      </c>
      <c r="Q36" s="37" t="n"/>
    </row>
    <row r="37" ht="15" customHeight="1" s="26">
      <c r="A37" s="37" t="inlineStr">
        <is>
          <t>M36</t>
        </is>
      </c>
      <c r="B37" s="37" t="inlineStr">
        <is>
          <t>Gates</t>
        </is>
      </c>
      <c r="C37" s="37" t="inlineStr">
        <is>
          <t>Tension bar, gate leaf</t>
        </is>
      </c>
      <c r="D37" s="37" t="inlineStr">
        <is>
          <t>3/16 x 3/4 in flat bar, about 80 in long (7 ft leaf).</t>
        </is>
      </c>
      <c r="E37" s="37" t="inlineStr">
        <is>
          <t>EA</t>
        </is>
      </c>
      <c r="F37" s="40" t="n">
        <v>6.4</v>
      </c>
      <c r="G37" s="41" t="inlineStr">
        <is>
          <t>Reference estimate</t>
        </is>
      </c>
      <c r="H37" s="42" t="n">
        <v>46307</v>
      </c>
      <c r="I37" s="41" t="n"/>
      <c r="J37" s="43" t="n">
        <v>0.1</v>
      </c>
      <c r="K37" s="44">
        <f>IF($A37="","",IF(INDEX(Takeoff_In!$D$2:$D$300,MATCH($A37,Takeoff_In!$A$2:$A$300,0))="",NA(),INDEX(Takeoff_In!$D$2:$D$300,MATCH($A37,Takeoff_In!$A$2:$A$300,0))))</f>
        <v/>
      </c>
      <c r="L37" s="44">
        <f>IF($A37="","",IF(INDEX(Takeoff_In!$E$2:$E$300,MATCH($A37,Takeoff_In!$A$2:$A$300,0))="",NA(),INDEX(Takeoff_In!$E$2:$E$300,MATCH($A37,Takeoff_In!$A$2:$A$300,0))))</f>
        <v/>
      </c>
      <c r="M37" s="45">
        <f>IF($A37="","",IF(ISNUMBER($J37),IF($E37="CU YD",ROUNDUP(K37*(1+$J37),1),ROUNDUP(K37*(1+$J37),0)),NA()))</f>
        <v/>
      </c>
      <c r="N37" s="45">
        <f>IF($A37="","",IF(ISNUMBER($J37),IF($E37="CU YD",ROUNDUP(L37*(1+$J37),1),ROUNDUP(L37*(1+$J37),0)),NA()))</f>
        <v/>
      </c>
      <c r="O37" s="46">
        <f>IF($A37="","",IF(ISNUMBER($F37),M37*$F37,NA()))</f>
        <v/>
      </c>
      <c r="P37" s="46">
        <f>IF($A37="","",IF(ISNUMBER($F37),N37*$F37,NA()))</f>
        <v/>
      </c>
      <c r="Q37" s="37" t="n"/>
    </row>
    <row r="38" ht="15" customHeight="1" s="26">
      <c r="A38" s="37" t="inlineStr">
        <is>
          <t>M37</t>
        </is>
      </c>
      <c r="B38" s="37" t="inlineStr">
        <is>
          <t>Gates</t>
        </is>
      </c>
      <c r="C38" s="37" t="inlineStr">
        <is>
          <t>Tension band, 1-7/8 in frame</t>
        </is>
      </c>
      <c r="D38" s="37" t="inlineStr">
        <is>
          <t>For 3/4 in tension bar on 1-7/8 in OD gate frame.</t>
        </is>
      </c>
      <c r="E38" s="37" t="inlineStr">
        <is>
          <t>EA</t>
        </is>
      </c>
      <c r="F38" s="40" t="n">
        <v>1.3</v>
      </c>
      <c r="G38" s="41" t="inlineStr">
        <is>
          <t>Reference estimate</t>
        </is>
      </c>
      <c r="H38" s="42" t="n">
        <v>46307</v>
      </c>
      <c r="I38" s="41" t="n"/>
      <c r="J38" s="43" t="n">
        <v>0.1</v>
      </c>
      <c r="K38" s="44">
        <f>IF($A38="","",IF(INDEX(Takeoff_In!$D$2:$D$300,MATCH($A38,Takeoff_In!$A$2:$A$300,0))="",NA(),INDEX(Takeoff_In!$D$2:$D$300,MATCH($A38,Takeoff_In!$A$2:$A$300,0))))</f>
        <v/>
      </c>
      <c r="L38" s="44">
        <f>IF($A38="","",IF(INDEX(Takeoff_In!$E$2:$E$300,MATCH($A38,Takeoff_In!$A$2:$A$300,0))="",NA(),INDEX(Takeoff_In!$E$2:$E$300,MATCH($A38,Takeoff_In!$A$2:$A$300,0))))</f>
        <v/>
      </c>
      <c r="M38" s="45">
        <f>IF($A38="","",IF(ISNUMBER($J38),IF($E38="CU YD",ROUNDUP(K38*(1+$J38),1),ROUNDUP(K38*(1+$J38),0)),NA()))</f>
        <v/>
      </c>
      <c r="N38" s="45">
        <f>IF($A38="","",IF(ISNUMBER($J38),IF($E38="CU YD",ROUNDUP(L38*(1+$J38),1),ROUNDUP(L38*(1+$J38),0)),NA()))</f>
        <v/>
      </c>
      <c r="O38" s="46">
        <f>IF($A38="","",IF(ISNUMBER($F38),M38*$F38,NA()))</f>
        <v/>
      </c>
      <c r="P38" s="46">
        <f>IF($A38="","",IF(ISNUMBER($F38),N38*$F38,NA()))</f>
        <v/>
      </c>
      <c r="Q38" s="37" t="n"/>
    </row>
    <row r="39" ht="15" customHeight="1" s="26">
      <c r="A39" s="37" t="inlineStr">
        <is>
          <t>M38</t>
        </is>
      </c>
      <c r="B39" s="37" t="inlineStr">
        <is>
          <t>Windscreen</t>
        </is>
      </c>
      <c r="C39" s="37" t="inlineStr">
        <is>
          <t>Windscreen</t>
        </is>
      </c>
      <c r="D39" s="37" t="inlineStr">
        <is>
          <t>Knitted polypropylene, 88% nominal shade, reinforced hems, brass grommets at 12 in o.c. top and bottom, 9 ft high.</t>
        </is>
      </c>
      <c r="E39" s="37" t="inlineStr">
        <is>
          <t>LF</t>
        </is>
      </c>
      <c r="F39" s="40" t="n">
        <v>2.5</v>
      </c>
      <c r="G39" s="41" t="inlineStr">
        <is>
          <t>Reference estimate</t>
        </is>
      </c>
      <c r="H39" s="42" t="n">
        <v>46307</v>
      </c>
      <c r="I39" s="41" t="n"/>
      <c r="J39" s="43" t="n">
        <v>0.05</v>
      </c>
      <c r="K39" s="44">
        <f>IF($A39="","",IF(INDEX(Takeoff_In!$D$2:$D$300,MATCH($A39,Takeoff_In!$A$2:$A$300,0))="",NA(),INDEX(Takeoff_In!$D$2:$D$300,MATCH($A39,Takeoff_In!$A$2:$A$300,0))))</f>
        <v/>
      </c>
      <c r="L39" s="44">
        <f>IF($A39="","",IF(INDEX(Takeoff_In!$E$2:$E$300,MATCH($A39,Takeoff_In!$A$2:$A$300,0))="",NA(),INDEX(Takeoff_In!$E$2:$E$300,MATCH($A39,Takeoff_In!$A$2:$A$300,0))))</f>
        <v/>
      </c>
      <c r="M39" s="45">
        <f>IF($A39="","",IF(ISNUMBER($J39),IF($E39="CU YD",ROUNDUP(K39*(1+$J39),1),ROUNDUP(K39*(1+$J39),0)),NA()))</f>
        <v/>
      </c>
      <c r="N39" s="45">
        <f>IF($A39="","",IF(ISNUMBER($J39),IF($E39="CU YD",ROUNDUP(L39*(1+$J39),1),ROUNDUP(L39*(1+$J39),0)),NA()))</f>
        <v/>
      </c>
      <c r="O39" s="46">
        <f>IF($A39="","",IF(ISNUMBER($F39),M39*$F39,NA()))</f>
        <v/>
      </c>
      <c r="P39" s="46">
        <f>IF($A39="","",IF(ISNUMBER($F39),N39*$F39,NA()))</f>
        <v/>
      </c>
      <c r="Q39" s="37" t="inlineStr">
        <is>
          <t>9 ft knitted, grommeted. Estimate per LF.</t>
        </is>
      </c>
    </row>
    <row r="40" ht="15" customHeight="1" s="26">
      <c r="A40" s="37" t="inlineStr">
        <is>
          <t>M39</t>
        </is>
      </c>
      <c r="B40" s="37" t="inlineStr">
        <is>
          <t>Windscreen</t>
        </is>
      </c>
      <c r="C40" s="37" t="inlineStr">
        <is>
          <t>Cable tie, UV-resistant nylon</t>
        </is>
      </c>
      <c r="D40" s="37" t="inlineStr">
        <is>
          <t>Heavy-duty (about 14 in), UV black. One per grommet.</t>
        </is>
      </c>
      <c r="E40" s="37" t="inlineStr">
        <is>
          <t>EA</t>
        </is>
      </c>
      <c r="F40" s="40" t="n">
        <v>0.09</v>
      </c>
      <c r="G40" s="41" t="inlineStr">
        <is>
          <t>Reference estimate</t>
        </is>
      </c>
      <c r="H40" s="42" t="n">
        <v>46307</v>
      </c>
      <c r="I40" s="41" t="n"/>
      <c r="J40" s="43" t="n">
        <v>0.1</v>
      </c>
      <c r="K40" s="44">
        <f>IF($A40="","",IF(INDEX(Takeoff_In!$D$2:$D$300,MATCH($A40,Takeoff_In!$A$2:$A$300,0))="",NA(),INDEX(Takeoff_In!$D$2:$D$300,MATCH($A40,Takeoff_In!$A$2:$A$300,0))))</f>
        <v/>
      </c>
      <c r="L40" s="44">
        <f>IF($A40="","",IF(INDEX(Takeoff_In!$E$2:$E$300,MATCH($A40,Takeoff_In!$A$2:$A$300,0))="",NA(),INDEX(Takeoff_In!$E$2:$E$300,MATCH($A40,Takeoff_In!$A$2:$A$300,0))))</f>
        <v/>
      </c>
      <c r="M40" s="45">
        <f>IF($A40="","",IF(ISNUMBER($J40),IF($E40="CU YD",ROUNDUP(K40*(1+$J40),1),ROUNDUP(K40*(1+$J40),0)),NA()))</f>
        <v/>
      </c>
      <c r="N40" s="45">
        <f>IF($A40="","",IF(ISNUMBER($J40),IF($E40="CU YD",ROUNDUP(L40*(1+$J40),1),ROUNDUP(L40*(1+$J40),0)),NA()))</f>
        <v/>
      </c>
      <c r="O40" s="46">
        <f>IF($A40="","",IF(ISNUMBER($F40),M40*$F40,NA()))</f>
        <v/>
      </c>
      <c r="P40" s="46">
        <f>IF($A40="","",IF(ISNUMBER($F40),N40*$F40,NA()))</f>
        <v/>
      </c>
      <c r="Q40" s="37" t="n"/>
    </row>
    <row r="41" ht="15" customHeight="1" s="26">
      <c r="A41" s="37" t="inlineStr">
        <is>
          <t>M40</t>
        </is>
      </c>
      <c r="B41" s="37" t="inlineStr">
        <is>
          <t>Concrete</t>
        </is>
      </c>
      <c r="C41" s="37" t="inlineStr">
        <is>
          <t>Ready-mix concrete</t>
        </is>
      </c>
      <c r="D41" s="37" t="inlineStr">
        <is>
          <t>Strength / slump per Section 32 31 13 (spec not provided).</t>
        </is>
      </c>
      <c r="E41" s="37" t="inlineStr">
        <is>
          <t>CU YD</t>
        </is>
      </c>
      <c r="F41" s="40" t="n">
        <v>185</v>
      </c>
      <c r="G41" s="41" t="inlineStr">
        <is>
          <t>Reference estimate</t>
        </is>
      </c>
      <c r="H41" s="42" t="n">
        <v>46307</v>
      </c>
      <c r="I41" s="41" t="n"/>
      <c r="J41" s="43" t="n">
        <v>0.1</v>
      </c>
      <c r="K41" s="44">
        <f>IF($A41="","",IF(INDEX(Takeoff_In!$D$2:$D$300,MATCH($A41,Takeoff_In!$A$2:$A$300,0))="",NA(),INDEX(Takeoff_In!$D$2:$D$300,MATCH($A41,Takeoff_In!$A$2:$A$300,0))))</f>
        <v/>
      </c>
      <c r="L41" s="44">
        <f>IF($A41="","",IF(INDEX(Takeoff_In!$E$2:$E$300,MATCH($A41,Takeoff_In!$A$2:$A$300,0))="",NA(),INDEX(Takeoff_In!$E$2:$E$300,MATCH($A41,Takeoff_In!$A$2:$A$300,0))))</f>
        <v/>
      </c>
      <c r="M41" s="45">
        <f>IF($A41="","",IF(ISNUMBER($J41),IF($E41="CU YD",ROUNDUP(K41*(1+$J41),1),ROUNDUP(K41*(1+$J41),0)),NA()))</f>
        <v/>
      </c>
      <c r="N41" s="45">
        <f>IF($A41="","",IF(ISNUMBER($J41),IF($E41="CU YD",ROUNDUP(L41*(1+$J41),1),ROUNDUP(L41*(1+$J41),0)),NA()))</f>
        <v/>
      </c>
      <c r="O41" s="46">
        <f>IF($A41="","",IF(ISNUMBER($F41),M41*$F41,NA()))</f>
        <v/>
      </c>
      <c r="P41" s="46">
        <f>IF($A41="","",IF(ISNUMBER($F41),N41*$F41,NA()))</f>
        <v/>
      </c>
      <c r="Q41" s="37" t="inlineStr">
        <is>
          <t>3000 psi. No short-load fee included. Estimate, not verified for Iowa. Sole concrete supply item; M41 (bagged concrete) is retired and its ID is not reused.</t>
        </is>
      </c>
    </row>
    <row r="42" ht="15" customHeight="1" s="26">
      <c r="A42" s="37" t="inlineStr">
        <is>
          <t>M42</t>
        </is>
      </c>
      <c r="B42" s="37" t="inlineStr">
        <is>
          <t>Accessories</t>
        </is>
      </c>
      <c r="C42" s="37" t="inlineStr">
        <is>
          <t>Fence guard, UV-stabilized polyethylene, on Type B top rail</t>
        </is>
      </c>
      <c r="D42" s="37" t="inlineStr">
        <is>
          <t>Standard-wall polyethylene cover, owner-selected color, per linear foot.</t>
        </is>
      </c>
      <c r="E42" s="37" t="inlineStr">
        <is>
          <t>LF</t>
        </is>
      </c>
      <c r="F42" s="40" t="n">
        <v>1.85</v>
      </c>
      <c r="G42" s="41" t="inlineStr">
        <is>
          <t>Reference estimate</t>
        </is>
      </c>
      <c r="H42" s="42" t="n">
        <v>46307</v>
      </c>
      <c r="I42" s="41" t="inlineStr">
        <is>
          <t>reference estimate</t>
        </is>
      </c>
      <c r="J42" s="43" t="n">
        <v>0.05</v>
      </c>
      <c r="K42" s="44">
        <f>IF($A42="","",IF(INDEX(Takeoff_In!$D$2:$D$300,MATCH($A42,Takeoff_In!$A$2:$A$300,0))="",NA(),INDEX(Takeoff_In!$D$2:$D$300,MATCH($A42,Takeoff_In!$A$2:$A$300,0))))</f>
        <v/>
      </c>
      <c r="L42" s="44">
        <f>IF($A42="","",IF(INDEX(Takeoff_In!$E$2:$E$300,MATCH($A42,Takeoff_In!$A$2:$A$300,0))="",NA(),INDEX(Takeoff_In!$E$2:$E$300,MATCH($A42,Takeoff_In!$A$2:$A$300,0))))</f>
        <v/>
      </c>
      <c r="M42" s="45">
        <f>IF($A42="","",IF(ISNUMBER($J42),IF($E42="CU YD",ROUNDUP(K42*(1+$J42),1),ROUNDUP(K42*(1+$J42),0)),NA()))</f>
        <v/>
      </c>
      <c r="N42" s="45">
        <f>IF($A42="","",IF(ISNUMBER($J42),IF($E42="CU YD",ROUNDUP(L42*(1+$J42),1),ROUNDUP(L42*(1+$J42),0)),NA()))</f>
        <v/>
      </c>
      <c r="O42" s="46">
        <f>IF($A42="","",IF(ISNUMBER($F42),M42*$F42,NA()))</f>
        <v/>
      </c>
      <c r="P42" s="46">
        <f>IF($A42="","",IF(ISNUMBER($F42),N42*$F42,NA()))</f>
        <v/>
      </c>
      <c r="Q42" s="37" t="inlineStr">
        <is>
          <t>Fictional reference estimate; not a vendor quote.</t>
        </is>
      </c>
    </row>
    <row r="43" ht="15" customHeight="1" s="26">
      <c r="A43" s="37" t="inlineStr">
        <is>
          <t>M43</t>
        </is>
      </c>
      <c r="B43" s="37" t="inlineStr">
        <is>
          <t>Gates</t>
        </is>
      </c>
      <c r="C43" s="37" t="inlineStr">
        <is>
          <t>Gate center drop rod, double-leaf gate</t>
        </is>
      </c>
      <c r="D43" s="37" t="inlineStr">
        <is>
          <t>Galvanized drop rod with fork keeper; one per double-leaf gate.</t>
        </is>
      </c>
      <c r="E43" s="37" t="inlineStr">
        <is>
          <t>EA</t>
        </is>
      </c>
      <c r="F43" s="40" t="n">
        <v>38</v>
      </c>
      <c r="G43" s="41" t="inlineStr">
        <is>
          <t>Reference estimate</t>
        </is>
      </c>
      <c r="H43" s="42" t="n">
        <v>46307</v>
      </c>
      <c r="I43" s="41" t="inlineStr">
        <is>
          <t>reference estimate</t>
        </is>
      </c>
      <c r="J43" s="43" t="n">
        <v>0</v>
      </c>
      <c r="K43" s="44">
        <f>IF($A43="","",IF(INDEX(Takeoff_In!$D$2:$D$300,MATCH($A43,Takeoff_In!$A$2:$A$300,0))="",NA(),INDEX(Takeoff_In!$D$2:$D$300,MATCH($A43,Takeoff_In!$A$2:$A$300,0))))</f>
        <v/>
      </c>
      <c r="L43" s="44">
        <f>IF($A43="","",IF(INDEX(Takeoff_In!$E$2:$E$300,MATCH($A43,Takeoff_In!$A$2:$A$300,0))="",NA(),INDEX(Takeoff_In!$E$2:$E$300,MATCH($A43,Takeoff_In!$A$2:$A$300,0))))</f>
        <v/>
      </c>
      <c r="M43" s="45">
        <f>IF($A43="","",IF(ISNUMBER($J43),IF($E43="CU YD",ROUNDUP(K43*(1+$J43),1),ROUNDUP(K43*(1+$J43),0)),NA()))</f>
        <v/>
      </c>
      <c r="N43" s="45">
        <f>IF($A43="","",IF(ISNUMBER($J43),IF($E43="CU YD",ROUNDUP(L43*(1+$J43),1),ROUNDUP(L43*(1+$J43),0)),NA()))</f>
        <v/>
      </c>
      <c r="O43" s="46">
        <f>IF($A43="","",IF(ISNUMBER($F43),M43*$F43,NA()))</f>
        <v/>
      </c>
      <c r="P43" s="46">
        <f>IF($A43="","",IF(ISNUMBER($F43),N43*$F43,NA()))</f>
        <v/>
      </c>
      <c r="Q43" s="37" t="inlineStr">
        <is>
          <t>Fictional reference estimate; not a vendor quote.</t>
        </is>
      </c>
    </row>
    <row r="44" ht="15" customHeight="1" s="26">
      <c r="A44" s="37" t="inlineStr">
        <is>
          <t>M44</t>
        </is>
      </c>
      <c r="B44" s="37" t="inlineStr">
        <is>
          <t>Gates</t>
        </is>
      </c>
      <c r="C44" s="37" t="inlineStr">
        <is>
          <t>Gate ground socket, for center drop rod</t>
        </is>
      </c>
      <c r="D44" s="37" t="inlineStr">
        <is>
          <t>Ground socket for the drop rod; set in the gate footing/pavement.</t>
        </is>
      </c>
      <c r="E44" s="37" t="inlineStr">
        <is>
          <t>EA</t>
        </is>
      </c>
      <c r="F44" s="40" t="n">
        <v>14.5</v>
      </c>
      <c r="G44" s="41" t="inlineStr">
        <is>
          <t>Reference estimate</t>
        </is>
      </c>
      <c r="H44" s="42" t="n">
        <v>46307</v>
      </c>
      <c r="I44" s="41" t="inlineStr">
        <is>
          <t>reference estimate</t>
        </is>
      </c>
      <c r="J44" s="43" t="n">
        <v>0</v>
      </c>
      <c r="K44" s="44">
        <f>IF($A44="","",IF(INDEX(Takeoff_In!$D$2:$D$300,MATCH($A44,Takeoff_In!$A$2:$A$300,0))="",NA(),INDEX(Takeoff_In!$D$2:$D$300,MATCH($A44,Takeoff_In!$A$2:$A$300,0))))</f>
        <v/>
      </c>
      <c r="L44" s="44">
        <f>IF($A44="","",IF(INDEX(Takeoff_In!$E$2:$E$300,MATCH($A44,Takeoff_In!$A$2:$A$300,0))="",NA(),INDEX(Takeoff_In!$E$2:$E$300,MATCH($A44,Takeoff_In!$A$2:$A$300,0))))</f>
        <v/>
      </c>
      <c r="M44" s="45">
        <f>IF($A44="","",IF(ISNUMBER($J44),IF($E44="CU YD",ROUNDUP(K44*(1+$J44),1),ROUNDUP(K44*(1+$J44),0)),NA()))</f>
        <v/>
      </c>
      <c r="N44" s="45">
        <f>IF($A44="","",IF(ISNUMBER($J44),IF($E44="CU YD",ROUNDUP(L44*(1+$J44),1),ROUNDUP(L44*(1+$J44),0)),NA()))</f>
        <v/>
      </c>
      <c r="O44" s="46">
        <f>IF($A44="","",IF(ISNUMBER($F44),M44*$F44,NA()))</f>
        <v/>
      </c>
      <c r="P44" s="46">
        <f>IF($A44="","",IF(ISNUMBER($F44),N44*$F44,NA()))</f>
        <v/>
      </c>
      <c r="Q44" s="37" t="inlineStr">
        <is>
          <t>Fictional reference estimate; not a vendor quote.</t>
        </is>
      </c>
    </row>
    <row r="45" ht="15" customHeight="1" s="26">
      <c r="A45" s="37" t="n"/>
      <c r="B45" s="37" t="n"/>
      <c r="C45" s="37" t="n"/>
      <c r="D45" s="37" t="n"/>
      <c r="E45" s="37" t="n"/>
      <c r="F45" s="40" t="n"/>
      <c r="G45" s="41" t="n"/>
      <c r="H45" s="42" t="n"/>
      <c r="I45" s="41" t="n"/>
      <c r="J45" s="43" t="n"/>
      <c r="K45" s="44">
        <f>IF($A45="","",IF(INDEX(Takeoff_In!$D$2:$D$300,MATCH($A45,Takeoff_In!$A$2:$A$300,0))="",NA(),INDEX(Takeoff_In!$D$2:$D$300,MATCH($A45,Takeoff_In!$A$2:$A$300,0))))</f>
        <v/>
      </c>
      <c r="L45" s="44">
        <f>IF($A45="","",IF(INDEX(Takeoff_In!$E$2:$E$300,MATCH($A45,Takeoff_In!$A$2:$A$300,0))="",NA(),INDEX(Takeoff_In!$E$2:$E$300,MATCH($A45,Takeoff_In!$A$2:$A$300,0))))</f>
        <v/>
      </c>
      <c r="M45" s="45">
        <f>IF($A45="","",IF(ISNUMBER($J45),IF($E45="CU YD",ROUNDUP(K45*(1+$J45),1),ROUNDUP(K45*(1+$J45),0)),NA()))</f>
        <v/>
      </c>
      <c r="N45" s="45">
        <f>IF($A45="","",IF(ISNUMBER($J45),IF($E45="CU YD",ROUNDUP(L45*(1+$J45),1),ROUNDUP(L45*(1+$J45),0)),NA()))</f>
        <v/>
      </c>
      <c r="O45" s="46">
        <f>IF($A45="","",IF(ISNUMBER($F45),M45*$F45,NA()))</f>
        <v/>
      </c>
      <c r="P45" s="46">
        <f>IF($A45="","",IF(ISNUMBER($F45),N45*$F45,NA()))</f>
        <v/>
      </c>
      <c r="Q45" s="37" t="n"/>
    </row>
    <row r="46" ht="15" customHeight="1" s="26">
      <c r="A46" s="37" t="n"/>
      <c r="B46" s="37" t="n"/>
      <c r="C46" s="37" t="n"/>
      <c r="D46" s="37" t="n"/>
      <c r="E46" s="37" t="n"/>
      <c r="F46" s="40" t="n"/>
      <c r="G46" s="41" t="n"/>
      <c r="H46" s="42" t="n"/>
      <c r="I46" s="41" t="n"/>
      <c r="J46" s="43" t="n"/>
      <c r="K46" s="44">
        <f>IF($A46="","",IF(INDEX(Takeoff_In!$D$2:$D$300,MATCH($A46,Takeoff_In!$A$2:$A$300,0))="",NA(),INDEX(Takeoff_In!$D$2:$D$300,MATCH($A46,Takeoff_In!$A$2:$A$300,0))))</f>
        <v/>
      </c>
      <c r="L46" s="44">
        <f>IF($A46="","",IF(INDEX(Takeoff_In!$E$2:$E$300,MATCH($A46,Takeoff_In!$A$2:$A$300,0))="",NA(),INDEX(Takeoff_In!$E$2:$E$300,MATCH($A46,Takeoff_In!$A$2:$A$300,0))))</f>
        <v/>
      </c>
      <c r="M46" s="45">
        <f>IF($A46="","",IF(ISNUMBER($J46),IF($E46="CU YD",ROUNDUP(K46*(1+$J46),1),ROUNDUP(K46*(1+$J46),0)),NA()))</f>
        <v/>
      </c>
      <c r="N46" s="45">
        <f>IF($A46="","",IF(ISNUMBER($J46),IF($E46="CU YD",ROUNDUP(L46*(1+$J46),1),ROUNDUP(L46*(1+$J46),0)),NA()))</f>
        <v/>
      </c>
      <c r="O46" s="46">
        <f>IF($A46="","",IF(ISNUMBER($F46),M46*$F46,NA()))</f>
        <v/>
      </c>
      <c r="P46" s="46">
        <f>IF($A46="","",IF(ISNUMBER($F46),N46*$F46,NA()))</f>
        <v/>
      </c>
      <c r="Q46" s="37" t="n"/>
    </row>
    <row r="47" ht="15" customHeight="1" s="26">
      <c r="A47" s="37" t="n"/>
      <c r="B47" s="37" t="n"/>
      <c r="C47" s="37" t="n"/>
      <c r="D47" s="37" t="n"/>
      <c r="E47" s="37" t="n"/>
      <c r="F47" s="40" t="n"/>
      <c r="G47" s="41" t="n"/>
      <c r="H47" s="42" t="n"/>
      <c r="I47" s="41" t="n"/>
      <c r="J47" s="43" t="n"/>
      <c r="K47" s="44">
        <f>IF($A47="","",IF(INDEX(Takeoff_In!$D$2:$D$300,MATCH($A47,Takeoff_In!$A$2:$A$300,0))="",NA(),INDEX(Takeoff_In!$D$2:$D$300,MATCH($A47,Takeoff_In!$A$2:$A$300,0))))</f>
        <v/>
      </c>
      <c r="L47" s="44">
        <f>IF($A47="","",IF(INDEX(Takeoff_In!$E$2:$E$300,MATCH($A47,Takeoff_In!$A$2:$A$300,0))="",NA(),INDEX(Takeoff_In!$E$2:$E$300,MATCH($A47,Takeoff_In!$A$2:$A$300,0))))</f>
        <v/>
      </c>
      <c r="M47" s="45">
        <f>IF($A47="","",IF(ISNUMBER($J47),IF($E47="CU YD",ROUNDUP(K47*(1+$J47),1),ROUNDUP(K47*(1+$J47),0)),NA()))</f>
        <v/>
      </c>
      <c r="N47" s="45">
        <f>IF($A47="","",IF(ISNUMBER($J47),IF($E47="CU YD",ROUNDUP(L47*(1+$J47),1),ROUNDUP(L47*(1+$J47),0)),NA()))</f>
        <v/>
      </c>
      <c r="O47" s="46">
        <f>IF($A47="","",IF(ISNUMBER($F47),M47*$F47,NA()))</f>
        <v/>
      </c>
      <c r="P47" s="46">
        <f>IF($A47="","",IF(ISNUMBER($F47),N47*$F47,NA()))</f>
        <v/>
      </c>
      <c r="Q47" s="37" t="n"/>
    </row>
    <row r="48" ht="15" customHeight="1" s="26">
      <c r="A48" s="37" t="n"/>
      <c r="B48" s="37" t="n"/>
      <c r="C48" s="37" t="n"/>
      <c r="D48" s="37" t="n"/>
      <c r="E48" s="37" t="n"/>
      <c r="F48" s="40" t="n"/>
      <c r="G48" s="41" t="n"/>
      <c r="H48" s="42" t="n"/>
      <c r="I48" s="41" t="n"/>
      <c r="J48" s="43" t="n"/>
      <c r="K48" s="44">
        <f>IF($A48="","",IF(INDEX(Takeoff_In!$D$2:$D$300,MATCH($A48,Takeoff_In!$A$2:$A$300,0))="",NA(),INDEX(Takeoff_In!$D$2:$D$300,MATCH($A48,Takeoff_In!$A$2:$A$300,0))))</f>
        <v/>
      </c>
      <c r="L48" s="44">
        <f>IF($A48="","",IF(INDEX(Takeoff_In!$E$2:$E$300,MATCH($A48,Takeoff_In!$A$2:$A$300,0))="",NA(),INDEX(Takeoff_In!$E$2:$E$300,MATCH($A48,Takeoff_In!$A$2:$A$300,0))))</f>
        <v/>
      </c>
      <c r="M48" s="45">
        <f>IF($A48="","",IF(ISNUMBER($J48),IF($E48="CU YD",ROUNDUP(K48*(1+$J48),1),ROUNDUP(K48*(1+$J48),0)),NA()))</f>
        <v/>
      </c>
      <c r="N48" s="45">
        <f>IF($A48="","",IF(ISNUMBER($J48),IF($E48="CU YD",ROUNDUP(L48*(1+$J48),1),ROUNDUP(L48*(1+$J48),0)),NA()))</f>
        <v/>
      </c>
      <c r="O48" s="46">
        <f>IF($A48="","",IF(ISNUMBER($F48),M48*$F48,NA()))</f>
        <v/>
      </c>
      <c r="P48" s="46">
        <f>IF($A48="","",IF(ISNUMBER($F48),N48*$F48,NA()))</f>
        <v/>
      </c>
      <c r="Q48" s="37" t="n"/>
    </row>
    <row r="49" ht="15" customHeight="1" s="26">
      <c r="A49" s="37" t="n"/>
      <c r="B49" s="37" t="n"/>
      <c r="C49" s="37" t="n"/>
      <c r="D49" s="37" t="n"/>
      <c r="E49" s="37" t="n"/>
      <c r="F49" s="40" t="n"/>
      <c r="G49" s="41" t="n"/>
      <c r="H49" s="42" t="n"/>
      <c r="I49" s="41" t="n"/>
      <c r="J49" s="43" t="n"/>
      <c r="K49" s="44">
        <f>IF($A49="","",IF(INDEX(Takeoff_In!$D$2:$D$300,MATCH($A49,Takeoff_In!$A$2:$A$300,0))="",NA(),INDEX(Takeoff_In!$D$2:$D$300,MATCH($A49,Takeoff_In!$A$2:$A$300,0))))</f>
        <v/>
      </c>
      <c r="L49" s="44">
        <f>IF($A49="","",IF(INDEX(Takeoff_In!$E$2:$E$300,MATCH($A49,Takeoff_In!$A$2:$A$300,0))="",NA(),INDEX(Takeoff_In!$E$2:$E$300,MATCH($A49,Takeoff_In!$A$2:$A$300,0))))</f>
        <v/>
      </c>
      <c r="M49" s="45">
        <f>IF($A49="","",IF(ISNUMBER($J49),IF($E49="CU YD",ROUNDUP(K49*(1+$J49),1),ROUNDUP(K49*(1+$J49),0)),NA()))</f>
        <v/>
      </c>
      <c r="N49" s="45">
        <f>IF($A49="","",IF(ISNUMBER($J49),IF($E49="CU YD",ROUNDUP(L49*(1+$J49),1),ROUNDUP(L49*(1+$J49),0)),NA()))</f>
        <v/>
      </c>
      <c r="O49" s="46">
        <f>IF($A49="","",IF(ISNUMBER($F49),M49*$F49,NA()))</f>
        <v/>
      </c>
      <c r="P49" s="46">
        <f>IF($A49="","",IF(ISNUMBER($F49),N49*$F49,NA()))</f>
        <v/>
      </c>
      <c r="Q49" s="37" t="n"/>
    </row>
    <row r="50" ht="15" customHeight="1" s="26">
      <c r="A50" s="37" t="n"/>
      <c r="B50" s="37" t="n"/>
      <c r="C50" s="37" t="n"/>
      <c r="D50" s="37" t="n"/>
      <c r="E50" s="37" t="n"/>
      <c r="F50" s="40" t="n"/>
      <c r="G50" s="41" t="n"/>
      <c r="H50" s="42" t="n"/>
      <c r="I50" s="41" t="n"/>
      <c r="J50" s="43" t="n"/>
      <c r="K50" s="44">
        <f>IF($A50="","",IF(INDEX(Takeoff_In!$D$2:$D$300,MATCH($A50,Takeoff_In!$A$2:$A$300,0))="",NA(),INDEX(Takeoff_In!$D$2:$D$300,MATCH($A50,Takeoff_In!$A$2:$A$300,0))))</f>
        <v/>
      </c>
      <c r="L50" s="44">
        <f>IF($A50="","",IF(INDEX(Takeoff_In!$E$2:$E$300,MATCH($A50,Takeoff_In!$A$2:$A$300,0))="",NA(),INDEX(Takeoff_In!$E$2:$E$300,MATCH($A50,Takeoff_In!$A$2:$A$300,0))))</f>
        <v/>
      </c>
      <c r="M50" s="45">
        <f>IF($A50="","",IF(ISNUMBER($J50),IF($E50="CU YD",ROUNDUP(K50*(1+$J50),1),ROUNDUP(K50*(1+$J50),0)),NA()))</f>
        <v/>
      </c>
      <c r="N50" s="45">
        <f>IF($A50="","",IF(ISNUMBER($J50),IF($E50="CU YD",ROUNDUP(L50*(1+$J50),1),ROUNDUP(L50*(1+$J50),0)),NA()))</f>
        <v/>
      </c>
      <c r="O50" s="46">
        <f>IF($A50="","",IF(ISNUMBER($F50),M50*$F50,NA()))</f>
        <v/>
      </c>
      <c r="P50" s="46">
        <f>IF($A50="","",IF(ISNUMBER($F50),N50*$F50,NA()))</f>
        <v/>
      </c>
      <c r="Q50" s="37" t="n"/>
    </row>
    <row r="51" ht="15" customHeight="1" s="26">
      <c r="A51" s="37" t="n"/>
      <c r="B51" s="37" t="n"/>
      <c r="C51" s="37" t="n"/>
      <c r="D51" s="37" t="n"/>
      <c r="E51" s="37" t="n"/>
      <c r="F51" s="40" t="n"/>
      <c r="G51" s="41" t="n"/>
      <c r="H51" s="42" t="n"/>
      <c r="I51" s="41" t="n"/>
      <c r="J51" s="43" t="n"/>
      <c r="K51" s="44">
        <f>IF($A51="","",IF(INDEX(Takeoff_In!$D$2:$D$300,MATCH($A51,Takeoff_In!$A$2:$A$300,0))="",NA(),INDEX(Takeoff_In!$D$2:$D$300,MATCH($A51,Takeoff_In!$A$2:$A$300,0))))</f>
        <v/>
      </c>
      <c r="L51" s="44">
        <f>IF($A51="","",IF(INDEX(Takeoff_In!$E$2:$E$300,MATCH($A51,Takeoff_In!$A$2:$A$300,0))="",NA(),INDEX(Takeoff_In!$E$2:$E$300,MATCH($A51,Takeoff_In!$A$2:$A$300,0))))</f>
        <v/>
      </c>
      <c r="M51" s="45">
        <f>IF($A51="","",IF(ISNUMBER($J51),IF($E51="CU YD",ROUNDUP(K51*(1+$J51),1),ROUNDUP(K51*(1+$J51),0)),NA()))</f>
        <v/>
      </c>
      <c r="N51" s="45">
        <f>IF($A51="","",IF(ISNUMBER($J51),IF($E51="CU YD",ROUNDUP(L51*(1+$J51),1),ROUNDUP(L51*(1+$J51),0)),NA()))</f>
        <v/>
      </c>
      <c r="O51" s="46">
        <f>IF($A51="","",IF(ISNUMBER($F51),M51*$F51,NA()))</f>
        <v/>
      </c>
      <c r="P51" s="46">
        <f>IF($A51="","",IF(ISNUMBER($F51),N51*$F51,NA()))</f>
        <v/>
      </c>
      <c r="Q51" s="37" t="n"/>
    </row>
    <row r="52" ht="15" customHeight="1" s="26">
      <c r="A52" s="37" t="n"/>
      <c r="B52" s="37" t="n"/>
      <c r="C52" s="37" t="n"/>
      <c r="D52" s="37" t="n"/>
      <c r="E52" s="37" t="n"/>
      <c r="F52" s="40" t="n"/>
      <c r="G52" s="41" t="n"/>
      <c r="H52" s="42" t="n"/>
      <c r="I52" s="41" t="n"/>
      <c r="J52" s="43" t="n"/>
      <c r="K52" s="44">
        <f>IF($A52="","",IF(INDEX(Takeoff_In!$D$2:$D$300,MATCH($A52,Takeoff_In!$A$2:$A$300,0))="",NA(),INDEX(Takeoff_In!$D$2:$D$300,MATCH($A52,Takeoff_In!$A$2:$A$300,0))))</f>
        <v/>
      </c>
      <c r="L52" s="44">
        <f>IF($A52="","",IF(INDEX(Takeoff_In!$E$2:$E$300,MATCH($A52,Takeoff_In!$A$2:$A$300,0))="",NA(),INDEX(Takeoff_In!$E$2:$E$300,MATCH($A52,Takeoff_In!$A$2:$A$300,0))))</f>
        <v/>
      </c>
      <c r="M52" s="45">
        <f>IF($A52="","",IF(ISNUMBER($J52),IF($E52="CU YD",ROUNDUP(K52*(1+$J52),1),ROUNDUP(K52*(1+$J52),0)),NA()))</f>
        <v/>
      </c>
      <c r="N52" s="45">
        <f>IF($A52="","",IF(ISNUMBER($J52),IF($E52="CU YD",ROUNDUP(L52*(1+$J52),1),ROUNDUP(L52*(1+$J52),0)),NA()))</f>
        <v/>
      </c>
      <c r="O52" s="46">
        <f>IF($A52="","",IF(ISNUMBER($F52),M52*$F52,NA()))</f>
        <v/>
      </c>
      <c r="P52" s="46">
        <f>IF($A52="","",IF(ISNUMBER($F52),N52*$F52,NA()))</f>
        <v/>
      </c>
      <c r="Q52" s="37" t="n"/>
    </row>
    <row r="53" ht="15" customHeight="1" s="26">
      <c r="A53" s="37" t="n"/>
      <c r="B53" s="37" t="n"/>
      <c r="C53" s="37" t="n"/>
      <c r="D53" s="37" t="n"/>
      <c r="E53" s="37" t="n"/>
      <c r="F53" s="40" t="n"/>
      <c r="G53" s="41" t="n"/>
      <c r="H53" s="42" t="n"/>
      <c r="I53" s="41" t="n"/>
      <c r="J53" s="43" t="n"/>
      <c r="K53" s="44">
        <f>IF($A53="","",IF(INDEX(Takeoff_In!$D$2:$D$300,MATCH($A53,Takeoff_In!$A$2:$A$300,0))="",NA(),INDEX(Takeoff_In!$D$2:$D$300,MATCH($A53,Takeoff_In!$A$2:$A$300,0))))</f>
        <v/>
      </c>
      <c r="L53" s="44">
        <f>IF($A53="","",IF(INDEX(Takeoff_In!$E$2:$E$300,MATCH($A53,Takeoff_In!$A$2:$A$300,0))="",NA(),INDEX(Takeoff_In!$E$2:$E$300,MATCH($A53,Takeoff_In!$A$2:$A$300,0))))</f>
        <v/>
      </c>
      <c r="M53" s="45">
        <f>IF($A53="","",IF(ISNUMBER($J53),IF($E53="CU YD",ROUNDUP(K53*(1+$J53),1),ROUNDUP(K53*(1+$J53),0)),NA()))</f>
        <v/>
      </c>
      <c r="N53" s="45">
        <f>IF($A53="","",IF(ISNUMBER($J53),IF($E53="CU YD",ROUNDUP(L53*(1+$J53),1),ROUNDUP(L53*(1+$J53),0)),NA()))</f>
        <v/>
      </c>
      <c r="O53" s="46">
        <f>IF($A53="","",IF(ISNUMBER($F53),M53*$F53,NA()))</f>
        <v/>
      </c>
      <c r="P53" s="46">
        <f>IF($A53="","",IF(ISNUMBER($F53),N53*$F53,NA()))</f>
        <v/>
      </c>
      <c r="Q53" s="37" t="n"/>
    </row>
    <row r="54" ht="15" customHeight="1" s="26">
      <c r="A54" s="37" t="n"/>
      <c r="B54" s="37" t="n"/>
      <c r="C54" s="37" t="n"/>
      <c r="D54" s="37" t="n"/>
      <c r="E54" s="37" t="n"/>
      <c r="F54" s="40" t="n"/>
      <c r="G54" s="41" t="n"/>
      <c r="H54" s="42" t="n"/>
      <c r="I54" s="41" t="n"/>
      <c r="J54" s="43" t="n"/>
      <c r="K54" s="44">
        <f>IF($A54="","",IF(INDEX(Takeoff_In!$D$2:$D$300,MATCH($A54,Takeoff_In!$A$2:$A$300,0))="",NA(),INDEX(Takeoff_In!$D$2:$D$300,MATCH($A54,Takeoff_In!$A$2:$A$300,0))))</f>
        <v/>
      </c>
      <c r="L54" s="44">
        <f>IF($A54="","",IF(INDEX(Takeoff_In!$E$2:$E$300,MATCH($A54,Takeoff_In!$A$2:$A$300,0))="",NA(),INDEX(Takeoff_In!$E$2:$E$300,MATCH($A54,Takeoff_In!$A$2:$A$300,0))))</f>
        <v/>
      </c>
      <c r="M54" s="45">
        <f>IF($A54="","",IF(ISNUMBER($J54),IF($E54="CU YD",ROUNDUP(K54*(1+$J54),1),ROUNDUP(K54*(1+$J54),0)),NA()))</f>
        <v/>
      </c>
      <c r="N54" s="45">
        <f>IF($A54="","",IF(ISNUMBER($J54),IF($E54="CU YD",ROUNDUP(L54*(1+$J54),1),ROUNDUP(L54*(1+$J54),0)),NA()))</f>
        <v/>
      </c>
      <c r="O54" s="46">
        <f>IF($A54="","",IF(ISNUMBER($F54),M54*$F54,NA()))</f>
        <v/>
      </c>
      <c r="P54" s="46">
        <f>IF($A54="","",IF(ISNUMBER($F54),N54*$F54,NA()))</f>
        <v/>
      </c>
      <c r="Q54" s="37" t="n"/>
    </row>
    <row r="55" ht="15" customHeight="1" s="26">
      <c r="A55" s="37" t="n"/>
      <c r="B55" s="37" t="n"/>
      <c r="C55" s="37" t="n"/>
      <c r="D55" s="37" t="n"/>
      <c r="E55" s="37" t="n"/>
      <c r="F55" s="40" t="n"/>
      <c r="G55" s="41" t="n"/>
      <c r="H55" s="42" t="n"/>
      <c r="I55" s="41" t="n"/>
      <c r="J55" s="43" t="n"/>
      <c r="K55" s="44">
        <f>IF($A55="","",IF(INDEX(Takeoff_In!$D$2:$D$300,MATCH($A55,Takeoff_In!$A$2:$A$300,0))="",NA(),INDEX(Takeoff_In!$D$2:$D$300,MATCH($A55,Takeoff_In!$A$2:$A$300,0))))</f>
        <v/>
      </c>
      <c r="L55" s="44">
        <f>IF($A55="","",IF(INDEX(Takeoff_In!$E$2:$E$300,MATCH($A55,Takeoff_In!$A$2:$A$300,0))="",NA(),INDEX(Takeoff_In!$E$2:$E$300,MATCH($A55,Takeoff_In!$A$2:$A$300,0))))</f>
        <v/>
      </c>
      <c r="M55" s="45">
        <f>IF($A55="","",IF(ISNUMBER($J55),IF($E55="CU YD",ROUNDUP(K55*(1+$J55),1),ROUNDUP(K55*(1+$J55),0)),NA()))</f>
        <v/>
      </c>
      <c r="N55" s="45">
        <f>IF($A55="","",IF(ISNUMBER($J55),IF($E55="CU YD",ROUNDUP(L55*(1+$J55),1),ROUNDUP(L55*(1+$J55),0)),NA()))</f>
        <v/>
      </c>
      <c r="O55" s="46">
        <f>IF($A55="","",IF(ISNUMBER($F55),M55*$F55,NA()))</f>
        <v/>
      </c>
      <c r="P55" s="46">
        <f>IF($A55="","",IF(ISNUMBER($F55),N55*$F55,NA()))</f>
        <v/>
      </c>
      <c r="Q55" s="37" t="n"/>
    </row>
    <row r="56" ht="15" customHeight="1" s="26">
      <c r="A56" s="37" t="n"/>
      <c r="B56" s="37" t="n"/>
      <c r="C56" s="37" t="n"/>
      <c r="D56" s="37" t="n"/>
      <c r="E56" s="37" t="n"/>
      <c r="F56" s="40" t="n"/>
      <c r="G56" s="41" t="n"/>
      <c r="H56" s="42" t="n"/>
      <c r="I56" s="41" t="n"/>
      <c r="J56" s="43" t="n"/>
      <c r="K56" s="44">
        <f>IF($A56="","",IF(INDEX(Takeoff_In!$D$2:$D$300,MATCH($A56,Takeoff_In!$A$2:$A$300,0))="",NA(),INDEX(Takeoff_In!$D$2:$D$300,MATCH($A56,Takeoff_In!$A$2:$A$300,0))))</f>
        <v/>
      </c>
      <c r="L56" s="44">
        <f>IF($A56="","",IF(INDEX(Takeoff_In!$E$2:$E$300,MATCH($A56,Takeoff_In!$A$2:$A$300,0))="",NA(),INDEX(Takeoff_In!$E$2:$E$300,MATCH($A56,Takeoff_In!$A$2:$A$300,0))))</f>
        <v/>
      </c>
      <c r="M56" s="45">
        <f>IF($A56="","",IF(ISNUMBER($J56),IF($E56="CU YD",ROUNDUP(K56*(1+$J56),1),ROUNDUP(K56*(1+$J56),0)),NA()))</f>
        <v/>
      </c>
      <c r="N56" s="45">
        <f>IF($A56="","",IF(ISNUMBER($J56),IF($E56="CU YD",ROUNDUP(L56*(1+$J56),1),ROUNDUP(L56*(1+$J56),0)),NA()))</f>
        <v/>
      </c>
      <c r="O56" s="46">
        <f>IF($A56="","",IF(ISNUMBER($F56),M56*$F56,NA()))</f>
        <v/>
      </c>
      <c r="P56" s="46">
        <f>IF($A56="","",IF(ISNUMBER($F56),N56*$F56,NA()))</f>
        <v/>
      </c>
      <c r="Q56" s="37" t="n"/>
    </row>
    <row r="57" ht="15" customHeight="1" s="26">
      <c r="A57" s="37" t="n"/>
      <c r="B57" s="37" t="n"/>
      <c r="C57" s="37" t="n"/>
      <c r="D57" s="37" t="n"/>
      <c r="E57" s="37" t="n"/>
      <c r="F57" s="40" t="n"/>
      <c r="G57" s="41" t="n"/>
      <c r="H57" s="42" t="n"/>
      <c r="I57" s="41" t="n"/>
      <c r="J57" s="43" t="n"/>
      <c r="K57" s="44">
        <f>IF($A57="","",IF(INDEX(Takeoff_In!$D$2:$D$300,MATCH($A57,Takeoff_In!$A$2:$A$300,0))="",NA(),INDEX(Takeoff_In!$D$2:$D$300,MATCH($A57,Takeoff_In!$A$2:$A$300,0))))</f>
        <v/>
      </c>
      <c r="L57" s="44">
        <f>IF($A57="","",IF(INDEX(Takeoff_In!$E$2:$E$300,MATCH($A57,Takeoff_In!$A$2:$A$300,0))="",NA(),INDEX(Takeoff_In!$E$2:$E$300,MATCH($A57,Takeoff_In!$A$2:$A$300,0))))</f>
        <v/>
      </c>
      <c r="M57" s="45">
        <f>IF($A57="","",IF(ISNUMBER($J57),IF($E57="CU YD",ROUNDUP(K57*(1+$J57),1),ROUNDUP(K57*(1+$J57),0)),NA()))</f>
        <v/>
      </c>
      <c r="N57" s="45">
        <f>IF($A57="","",IF(ISNUMBER($J57),IF($E57="CU YD",ROUNDUP(L57*(1+$J57),1),ROUNDUP(L57*(1+$J57),0)),NA()))</f>
        <v/>
      </c>
      <c r="O57" s="46">
        <f>IF($A57="","",IF(ISNUMBER($F57),M57*$F57,NA()))</f>
        <v/>
      </c>
      <c r="P57" s="46">
        <f>IF($A57="","",IF(ISNUMBER($F57),N57*$F57,NA()))</f>
        <v/>
      </c>
      <c r="Q57" s="37" t="n"/>
    </row>
    <row r="58" ht="15" customHeight="1" s="26">
      <c r="A58" s="37" t="n"/>
      <c r="B58" s="37" t="n"/>
      <c r="C58" s="37" t="n"/>
      <c r="D58" s="37" t="n"/>
      <c r="E58" s="37" t="n"/>
      <c r="F58" s="40" t="n"/>
      <c r="G58" s="41" t="n"/>
      <c r="H58" s="42" t="n"/>
      <c r="I58" s="41" t="n"/>
      <c r="J58" s="43" t="n"/>
      <c r="K58" s="44">
        <f>IF($A58="","",IF(INDEX(Takeoff_In!$D$2:$D$300,MATCH($A58,Takeoff_In!$A$2:$A$300,0))="",NA(),INDEX(Takeoff_In!$D$2:$D$300,MATCH($A58,Takeoff_In!$A$2:$A$300,0))))</f>
        <v/>
      </c>
      <c r="L58" s="44">
        <f>IF($A58="","",IF(INDEX(Takeoff_In!$E$2:$E$300,MATCH($A58,Takeoff_In!$A$2:$A$300,0))="",NA(),INDEX(Takeoff_In!$E$2:$E$300,MATCH($A58,Takeoff_In!$A$2:$A$300,0))))</f>
        <v/>
      </c>
      <c r="M58" s="45">
        <f>IF($A58="","",IF(ISNUMBER($J58),IF($E58="CU YD",ROUNDUP(K58*(1+$J58),1),ROUNDUP(K58*(1+$J58),0)),NA()))</f>
        <v/>
      </c>
      <c r="N58" s="45">
        <f>IF($A58="","",IF(ISNUMBER($J58),IF($E58="CU YD",ROUNDUP(L58*(1+$J58),1),ROUNDUP(L58*(1+$J58),0)),NA()))</f>
        <v/>
      </c>
      <c r="O58" s="46">
        <f>IF($A58="","",IF(ISNUMBER($F58),M58*$F58,NA()))</f>
        <v/>
      </c>
      <c r="P58" s="46">
        <f>IF($A58="","",IF(ISNUMBER($F58),N58*$F58,NA()))</f>
        <v/>
      </c>
      <c r="Q58" s="37" t="n"/>
    </row>
    <row r="59" ht="15" customHeight="1" s="26">
      <c r="A59" s="37" t="n"/>
      <c r="B59" s="37" t="n"/>
      <c r="C59" s="37" t="n"/>
      <c r="D59" s="37" t="n"/>
      <c r="E59" s="37" t="n"/>
      <c r="F59" s="40" t="n"/>
      <c r="G59" s="41" t="n"/>
      <c r="H59" s="42" t="n"/>
      <c r="I59" s="41" t="n"/>
      <c r="J59" s="43" t="n"/>
      <c r="K59" s="44">
        <f>IF($A59="","",IF(INDEX(Takeoff_In!$D$2:$D$300,MATCH($A59,Takeoff_In!$A$2:$A$300,0))="",NA(),INDEX(Takeoff_In!$D$2:$D$300,MATCH($A59,Takeoff_In!$A$2:$A$300,0))))</f>
        <v/>
      </c>
      <c r="L59" s="44">
        <f>IF($A59="","",IF(INDEX(Takeoff_In!$E$2:$E$300,MATCH($A59,Takeoff_In!$A$2:$A$300,0))="",NA(),INDEX(Takeoff_In!$E$2:$E$300,MATCH($A59,Takeoff_In!$A$2:$A$300,0))))</f>
        <v/>
      </c>
      <c r="M59" s="45">
        <f>IF($A59="","",IF(ISNUMBER($J59),IF($E59="CU YD",ROUNDUP(K59*(1+$J59),1),ROUNDUP(K59*(1+$J59),0)),NA()))</f>
        <v/>
      </c>
      <c r="N59" s="45">
        <f>IF($A59="","",IF(ISNUMBER($J59),IF($E59="CU YD",ROUNDUP(L59*(1+$J59),1),ROUNDUP(L59*(1+$J59),0)),NA()))</f>
        <v/>
      </c>
      <c r="O59" s="46">
        <f>IF($A59="","",IF(ISNUMBER($F59),M59*$F59,NA()))</f>
        <v/>
      </c>
      <c r="P59" s="46">
        <f>IF($A59="","",IF(ISNUMBER($F59),N59*$F59,NA()))</f>
        <v/>
      </c>
      <c r="Q59" s="37" t="n"/>
    </row>
    <row r="60" ht="15" customHeight="1" s="26">
      <c r="A60" s="37" t="n"/>
      <c r="B60" s="37" t="n"/>
      <c r="C60" s="37" t="n"/>
      <c r="D60" s="37" t="n"/>
      <c r="E60" s="37" t="n"/>
      <c r="F60" s="40" t="n"/>
      <c r="G60" s="41" t="n"/>
      <c r="H60" s="42" t="n"/>
      <c r="I60" s="41" t="n"/>
      <c r="J60" s="43" t="n"/>
      <c r="K60" s="44">
        <f>IF($A60="","",IF(INDEX(Takeoff_In!$D$2:$D$300,MATCH($A60,Takeoff_In!$A$2:$A$300,0))="",NA(),INDEX(Takeoff_In!$D$2:$D$300,MATCH($A60,Takeoff_In!$A$2:$A$300,0))))</f>
        <v/>
      </c>
      <c r="L60" s="44">
        <f>IF($A60="","",IF(INDEX(Takeoff_In!$E$2:$E$300,MATCH($A60,Takeoff_In!$A$2:$A$300,0))="",NA(),INDEX(Takeoff_In!$E$2:$E$300,MATCH($A60,Takeoff_In!$A$2:$A$300,0))))</f>
        <v/>
      </c>
      <c r="M60" s="45">
        <f>IF($A60="","",IF(ISNUMBER($J60),IF($E60="CU YD",ROUNDUP(K60*(1+$J60),1),ROUNDUP(K60*(1+$J60),0)),NA()))</f>
        <v/>
      </c>
      <c r="N60" s="45">
        <f>IF($A60="","",IF(ISNUMBER($J60),IF($E60="CU YD",ROUNDUP(L60*(1+$J60),1),ROUNDUP(L60*(1+$J60),0)),NA()))</f>
        <v/>
      </c>
      <c r="O60" s="46">
        <f>IF($A60="","",IF(ISNUMBER($F60),M60*$F60,NA()))</f>
        <v/>
      </c>
      <c r="P60" s="46">
        <f>IF($A60="","",IF(ISNUMBER($F60),N60*$F60,NA()))</f>
        <v/>
      </c>
      <c r="Q60" s="37" t="n"/>
    </row>
    <row r="61" ht="15" customHeight="1" s="26">
      <c r="A61" s="37" t="n"/>
      <c r="B61" s="37" t="n"/>
      <c r="C61" s="37" t="n"/>
      <c r="D61" s="37" t="n"/>
      <c r="E61" s="37" t="n"/>
      <c r="F61" s="40" t="n"/>
      <c r="G61" s="41" t="n"/>
      <c r="H61" s="42" t="n"/>
      <c r="I61" s="41" t="n"/>
      <c r="J61" s="43" t="n"/>
      <c r="K61" s="44">
        <f>IF($A61="","",IF(INDEX(Takeoff_In!$D$2:$D$300,MATCH($A61,Takeoff_In!$A$2:$A$300,0))="",NA(),INDEX(Takeoff_In!$D$2:$D$300,MATCH($A61,Takeoff_In!$A$2:$A$300,0))))</f>
        <v/>
      </c>
      <c r="L61" s="44">
        <f>IF($A61="","",IF(INDEX(Takeoff_In!$E$2:$E$300,MATCH($A61,Takeoff_In!$A$2:$A$300,0))="",NA(),INDEX(Takeoff_In!$E$2:$E$300,MATCH($A61,Takeoff_In!$A$2:$A$300,0))))</f>
        <v/>
      </c>
      <c r="M61" s="45">
        <f>IF($A61="","",IF(ISNUMBER($J61),IF($E61="CU YD",ROUNDUP(K61*(1+$J61),1),ROUNDUP(K61*(1+$J61),0)),NA()))</f>
        <v/>
      </c>
      <c r="N61" s="45">
        <f>IF($A61="","",IF(ISNUMBER($J61),IF($E61="CU YD",ROUNDUP(L61*(1+$J61),1),ROUNDUP(L61*(1+$J61),0)),NA()))</f>
        <v/>
      </c>
      <c r="O61" s="46">
        <f>IF($A61="","",IF(ISNUMBER($F61),M61*$F61,NA()))</f>
        <v/>
      </c>
      <c r="P61" s="46">
        <f>IF($A61="","",IF(ISNUMBER($F61),N61*$F61,NA()))</f>
        <v/>
      </c>
      <c r="Q61" s="37" t="n"/>
    </row>
    <row r="62" ht="15" customHeight="1" s="26">
      <c r="A62" s="37" t="n"/>
      <c r="B62" s="37" t="n"/>
      <c r="C62" s="37" t="n"/>
      <c r="D62" s="37" t="n"/>
      <c r="E62" s="37" t="n"/>
      <c r="F62" s="40" t="n"/>
      <c r="G62" s="41" t="n"/>
      <c r="H62" s="42" t="n"/>
      <c r="I62" s="41" t="n"/>
      <c r="J62" s="43" t="n"/>
      <c r="K62" s="44">
        <f>IF($A62="","",IF(INDEX(Takeoff_In!$D$2:$D$300,MATCH($A62,Takeoff_In!$A$2:$A$300,0))="",NA(),INDEX(Takeoff_In!$D$2:$D$300,MATCH($A62,Takeoff_In!$A$2:$A$300,0))))</f>
        <v/>
      </c>
      <c r="L62" s="44">
        <f>IF($A62="","",IF(INDEX(Takeoff_In!$E$2:$E$300,MATCH($A62,Takeoff_In!$A$2:$A$300,0))="",NA(),INDEX(Takeoff_In!$E$2:$E$300,MATCH($A62,Takeoff_In!$A$2:$A$300,0))))</f>
        <v/>
      </c>
      <c r="M62" s="45">
        <f>IF($A62="","",IF(ISNUMBER($J62),IF($E62="CU YD",ROUNDUP(K62*(1+$J62),1),ROUNDUP(K62*(1+$J62),0)),NA()))</f>
        <v/>
      </c>
      <c r="N62" s="45">
        <f>IF($A62="","",IF(ISNUMBER($J62),IF($E62="CU YD",ROUNDUP(L62*(1+$J62),1),ROUNDUP(L62*(1+$J62),0)),NA()))</f>
        <v/>
      </c>
      <c r="O62" s="46">
        <f>IF($A62="","",IF(ISNUMBER($F62),M62*$F62,NA()))</f>
        <v/>
      </c>
      <c r="P62" s="46">
        <f>IF($A62="","",IF(ISNUMBER($F62),N62*$F62,NA()))</f>
        <v/>
      </c>
      <c r="Q62" s="37" t="n"/>
    </row>
    <row r="63" ht="15" customHeight="1" s="26">
      <c r="A63" s="37" t="n"/>
      <c r="B63" s="37" t="n"/>
      <c r="C63" s="37" t="n"/>
      <c r="D63" s="37" t="n"/>
      <c r="E63" s="37" t="n"/>
      <c r="F63" s="40" t="n"/>
      <c r="G63" s="41" t="n"/>
      <c r="H63" s="42" t="n"/>
      <c r="I63" s="41" t="n"/>
      <c r="J63" s="43" t="n"/>
      <c r="K63" s="44">
        <f>IF($A63="","",IF(INDEX(Takeoff_In!$D$2:$D$300,MATCH($A63,Takeoff_In!$A$2:$A$300,0))="",NA(),INDEX(Takeoff_In!$D$2:$D$300,MATCH($A63,Takeoff_In!$A$2:$A$300,0))))</f>
        <v/>
      </c>
      <c r="L63" s="44">
        <f>IF($A63="","",IF(INDEX(Takeoff_In!$E$2:$E$300,MATCH($A63,Takeoff_In!$A$2:$A$300,0))="",NA(),INDEX(Takeoff_In!$E$2:$E$300,MATCH($A63,Takeoff_In!$A$2:$A$300,0))))</f>
        <v/>
      </c>
      <c r="M63" s="45">
        <f>IF($A63="","",IF(ISNUMBER($J63),IF($E63="CU YD",ROUNDUP(K63*(1+$J63),1),ROUNDUP(K63*(1+$J63),0)),NA()))</f>
        <v/>
      </c>
      <c r="N63" s="45">
        <f>IF($A63="","",IF(ISNUMBER($J63),IF($E63="CU YD",ROUNDUP(L63*(1+$J63),1),ROUNDUP(L63*(1+$J63),0)),NA()))</f>
        <v/>
      </c>
      <c r="O63" s="46">
        <f>IF($A63="","",IF(ISNUMBER($F63),M63*$F63,NA()))</f>
        <v/>
      </c>
      <c r="P63" s="46">
        <f>IF($A63="","",IF(ISNUMBER($F63),N63*$F63,NA()))</f>
        <v/>
      </c>
      <c r="Q63" s="37" t="n"/>
    </row>
    <row r="64" ht="15" customHeight="1" s="26">
      <c r="A64" s="37" t="n"/>
      <c r="B64" s="37" t="n"/>
      <c r="C64" s="37" t="n"/>
      <c r="D64" s="37" t="n"/>
      <c r="E64" s="37" t="n"/>
      <c r="F64" s="40" t="n"/>
      <c r="G64" s="41" t="n"/>
      <c r="H64" s="42" t="n"/>
      <c r="I64" s="41" t="n"/>
      <c r="J64" s="43" t="n"/>
      <c r="K64" s="44">
        <f>IF($A64="","",IF(INDEX(Takeoff_In!$D$2:$D$300,MATCH($A64,Takeoff_In!$A$2:$A$300,0))="",NA(),INDEX(Takeoff_In!$D$2:$D$300,MATCH($A64,Takeoff_In!$A$2:$A$300,0))))</f>
        <v/>
      </c>
      <c r="L64" s="44">
        <f>IF($A64="","",IF(INDEX(Takeoff_In!$E$2:$E$300,MATCH($A64,Takeoff_In!$A$2:$A$300,0))="",NA(),INDEX(Takeoff_In!$E$2:$E$300,MATCH($A64,Takeoff_In!$A$2:$A$300,0))))</f>
        <v/>
      </c>
      <c r="M64" s="45">
        <f>IF($A64="","",IF(ISNUMBER($J64),IF($E64="CU YD",ROUNDUP(K64*(1+$J64),1),ROUNDUP(K64*(1+$J64),0)),NA()))</f>
        <v/>
      </c>
      <c r="N64" s="45">
        <f>IF($A64="","",IF(ISNUMBER($J64),IF($E64="CU YD",ROUNDUP(L64*(1+$J64),1),ROUNDUP(L64*(1+$J64),0)),NA()))</f>
        <v/>
      </c>
      <c r="O64" s="46">
        <f>IF($A64="","",IF(ISNUMBER($F64),M64*$F64,NA()))</f>
        <v/>
      </c>
      <c r="P64" s="46">
        <f>IF($A64="","",IF(ISNUMBER($F64),N64*$F64,NA()))</f>
        <v/>
      </c>
      <c r="Q64" s="37" t="n"/>
    </row>
    <row r="65" ht="15" customHeight="1" s="26">
      <c r="A65" s="37" t="n"/>
      <c r="B65" s="37" t="n"/>
      <c r="C65" s="37" t="n"/>
      <c r="D65" s="37" t="n"/>
      <c r="E65" s="37" t="n"/>
      <c r="F65" s="40" t="n"/>
      <c r="G65" s="41" t="n"/>
      <c r="H65" s="42" t="n"/>
      <c r="I65" s="41" t="n"/>
      <c r="J65" s="43" t="n"/>
      <c r="K65" s="44">
        <f>IF($A65="","",IF(INDEX(Takeoff_In!$D$2:$D$300,MATCH($A65,Takeoff_In!$A$2:$A$300,0))="",NA(),INDEX(Takeoff_In!$D$2:$D$300,MATCH($A65,Takeoff_In!$A$2:$A$300,0))))</f>
        <v/>
      </c>
      <c r="L65" s="44">
        <f>IF($A65="","",IF(INDEX(Takeoff_In!$E$2:$E$300,MATCH($A65,Takeoff_In!$A$2:$A$300,0))="",NA(),INDEX(Takeoff_In!$E$2:$E$300,MATCH($A65,Takeoff_In!$A$2:$A$300,0))))</f>
        <v/>
      </c>
      <c r="M65" s="45">
        <f>IF($A65="","",IF(ISNUMBER($J65),IF($E65="CU YD",ROUNDUP(K65*(1+$J65),1),ROUNDUP(K65*(1+$J65),0)),NA()))</f>
        <v/>
      </c>
      <c r="N65" s="45">
        <f>IF($A65="","",IF(ISNUMBER($J65),IF($E65="CU YD",ROUNDUP(L65*(1+$J65),1),ROUNDUP(L65*(1+$J65),0)),NA()))</f>
        <v/>
      </c>
      <c r="O65" s="46">
        <f>IF($A65="","",IF(ISNUMBER($F65),M65*$F65,NA()))</f>
        <v/>
      </c>
      <c r="P65" s="46">
        <f>IF($A65="","",IF(ISNUMBER($F65),N65*$F65,NA()))</f>
        <v/>
      </c>
      <c r="Q65" s="37" t="n"/>
    </row>
    <row r="66" ht="15" customHeight="1" s="26">
      <c r="A66" s="37" t="n"/>
      <c r="B66" s="37" t="n"/>
      <c r="C66" s="37" t="n"/>
      <c r="D66" s="37" t="n"/>
      <c r="E66" s="37" t="n"/>
      <c r="F66" s="40" t="n"/>
      <c r="G66" s="41" t="n"/>
      <c r="H66" s="42" t="n"/>
      <c r="I66" s="41" t="n"/>
      <c r="J66" s="43" t="n"/>
      <c r="K66" s="44">
        <f>IF($A66="","",IF(INDEX(Takeoff_In!$D$2:$D$300,MATCH($A66,Takeoff_In!$A$2:$A$300,0))="",NA(),INDEX(Takeoff_In!$D$2:$D$300,MATCH($A66,Takeoff_In!$A$2:$A$300,0))))</f>
        <v/>
      </c>
      <c r="L66" s="44">
        <f>IF($A66="","",IF(INDEX(Takeoff_In!$E$2:$E$300,MATCH($A66,Takeoff_In!$A$2:$A$300,0))="",NA(),INDEX(Takeoff_In!$E$2:$E$300,MATCH($A66,Takeoff_In!$A$2:$A$300,0))))</f>
        <v/>
      </c>
      <c r="M66" s="45">
        <f>IF($A66="","",IF(ISNUMBER($J66),IF($E66="CU YD",ROUNDUP(K66*(1+$J66),1),ROUNDUP(K66*(1+$J66),0)),NA()))</f>
        <v/>
      </c>
      <c r="N66" s="45">
        <f>IF($A66="","",IF(ISNUMBER($J66),IF($E66="CU YD",ROUNDUP(L66*(1+$J66),1),ROUNDUP(L66*(1+$J66),0)),NA()))</f>
        <v/>
      </c>
      <c r="O66" s="46">
        <f>IF($A66="","",IF(ISNUMBER($F66),M66*$F66,NA()))</f>
        <v/>
      </c>
      <c r="P66" s="46">
        <f>IF($A66="","",IF(ISNUMBER($F66),N66*$F66,NA()))</f>
        <v/>
      </c>
      <c r="Q66" s="37" t="n"/>
    </row>
    <row r="67" ht="15" customHeight="1" s="26">
      <c r="A67" s="37" t="n"/>
      <c r="B67" s="37" t="n"/>
      <c r="C67" s="37" t="n"/>
      <c r="D67" s="37" t="n"/>
      <c r="E67" s="37" t="n"/>
      <c r="F67" s="40" t="n"/>
      <c r="G67" s="41" t="n"/>
      <c r="H67" s="42" t="n"/>
      <c r="I67" s="41" t="n"/>
      <c r="J67" s="43" t="n"/>
      <c r="K67" s="44">
        <f>IF($A67="","",IF(INDEX(Takeoff_In!$D$2:$D$300,MATCH($A67,Takeoff_In!$A$2:$A$300,0))="",NA(),INDEX(Takeoff_In!$D$2:$D$300,MATCH($A67,Takeoff_In!$A$2:$A$300,0))))</f>
        <v/>
      </c>
      <c r="L67" s="44">
        <f>IF($A67="","",IF(INDEX(Takeoff_In!$E$2:$E$300,MATCH($A67,Takeoff_In!$A$2:$A$300,0))="",NA(),INDEX(Takeoff_In!$E$2:$E$300,MATCH($A67,Takeoff_In!$A$2:$A$300,0))))</f>
        <v/>
      </c>
      <c r="M67" s="45">
        <f>IF($A67="","",IF(ISNUMBER($J67),IF($E67="CU YD",ROUNDUP(K67*(1+$J67),1),ROUNDUP(K67*(1+$J67),0)),NA()))</f>
        <v/>
      </c>
      <c r="N67" s="45">
        <f>IF($A67="","",IF(ISNUMBER($J67),IF($E67="CU YD",ROUNDUP(L67*(1+$J67),1),ROUNDUP(L67*(1+$J67),0)),NA()))</f>
        <v/>
      </c>
      <c r="O67" s="46">
        <f>IF($A67="","",IF(ISNUMBER($F67),M67*$F67,NA()))</f>
        <v/>
      </c>
      <c r="P67" s="46">
        <f>IF($A67="","",IF(ISNUMBER($F67),N67*$F67,NA()))</f>
        <v/>
      </c>
      <c r="Q67" s="37" t="n"/>
    </row>
    <row r="68" ht="15" customHeight="1" s="26">
      <c r="A68" s="37" t="n"/>
      <c r="B68" s="37" t="n"/>
      <c r="C68" s="37" t="n"/>
      <c r="D68" s="37" t="n"/>
      <c r="E68" s="37" t="n"/>
      <c r="F68" s="40" t="n"/>
      <c r="G68" s="41" t="n"/>
      <c r="H68" s="42" t="n"/>
      <c r="I68" s="41" t="n"/>
      <c r="J68" s="43" t="n"/>
      <c r="K68" s="44">
        <f>IF($A68="","",IF(INDEX(Takeoff_In!$D$2:$D$300,MATCH($A68,Takeoff_In!$A$2:$A$300,0))="",NA(),INDEX(Takeoff_In!$D$2:$D$300,MATCH($A68,Takeoff_In!$A$2:$A$300,0))))</f>
        <v/>
      </c>
      <c r="L68" s="44">
        <f>IF($A68="","",IF(INDEX(Takeoff_In!$E$2:$E$300,MATCH($A68,Takeoff_In!$A$2:$A$300,0))="",NA(),INDEX(Takeoff_In!$E$2:$E$300,MATCH($A68,Takeoff_In!$A$2:$A$300,0))))</f>
        <v/>
      </c>
      <c r="M68" s="45">
        <f>IF($A68="","",IF(ISNUMBER($J68),IF($E68="CU YD",ROUNDUP(K68*(1+$J68),1),ROUNDUP(K68*(1+$J68),0)),NA()))</f>
        <v/>
      </c>
      <c r="N68" s="45">
        <f>IF($A68="","",IF(ISNUMBER($J68),IF($E68="CU YD",ROUNDUP(L68*(1+$J68),1),ROUNDUP(L68*(1+$J68),0)),NA()))</f>
        <v/>
      </c>
      <c r="O68" s="46">
        <f>IF($A68="","",IF(ISNUMBER($F68),M68*$F68,NA()))</f>
        <v/>
      </c>
      <c r="P68" s="46">
        <f>IF($A68="","",IF(ISNUMBER($F68),N68*$F68,NA()))</f>
        <v/>
      </c>
      <c r="Q68" s="37" t="n"/>
    </row>
    <row r="69" ht="15" customHeight="1" s="26">
      <c r="A69" s="37" t="n"/>
      <c r="B69" s="37" t="n"/>
      <c r="C69" s="37" t="n"/>
      <c r="D69" s="37" t="n"/>
      <c r="E69" s="37" t="n"/>
      <c r="F69" s="40" t="n"/>
      <c r="G69" s="41" t="n"/>
      <c r="H69" s="42" t="n"/>
      <c r="I69" s="41" t="n"/>
      <c r="J69" s="43" t="n"/>
      <c r="K69" s="44">
        <f>IF($A69="","",IF(INDEX(Takeoff_In!$D$2:$D$300,MATCH($A69,Takeoff_In!$A$2:$A$300,0))="",NA(),INDEX(Takeoff_In!$D$2:$D$300,MATCH($A69,Takeoff_In!$A$2:$A$300,0))))</f>
        <v/>
      </c>
      <c r="L69" s="44">
        <f>IF($A69="","",IF(INDEX(Takeoff_In!$E$2:$E$300,MATCH($A69,Takeoff_In!$A$2:$A$300,0))="",NA(),INDEX(Takeoff_In!$E$2:$E$300,MATCH($A69,Takeoff_In!$A$2:$A$300,0))))</f>
        <v/>
      </c>
      <c r="M69" s="45">
        <f>IF($A69="","",IF(ISNUMBER($J69),IF($E69="CU YD",ROUNDUP(K69*(1+$J69),1),ROUNDUP(K69*(1+$J69),0)),NA()))</f>
        <v/>
      </c>
      <c r="N69" s="45">
        <f>IF($A69="","",IF(ISNUMBER($J69),IF($E69="CU YD",ROUNDUP(L69*(1+$J69),1),ROUNDUP(L69*(1+$J69),0)),NA()))</f>
        <v/>
      </c>
      <c r="O69" s="46">
        <f>IF($A69="","",IF(ISNUMBER($F69),M69*$F69,NA()))</f>
        <v/>
      </c>
      <c r="P69" s="46">
        <f>IF($A69="","",IF(ISNUMBER($F69),N69*$F69,NA()))</f>
        <v/>
      </c>
      <c r="Q69" s="37" t="n"/>
    </row>
    <row r="70" ht="15" customHeight="1" s="26">
      <c r="A70" s="37" t="n"/>
      <c r="B70" s="37" t="n"/>
      <c r="C70" s="37" t="n"/>
      <c r="D70" s="37" t="n"/>
      <c r="E70" s="37" t="n"/>
      <c r="F70" s="40" t="n"/>
      <c r="G70" s="41" t="n"/>
      <c r="H70" s="42" t="n"/>
      <c r="I70" s="41" t="n"/>
      <c r="J70" s="43" t="n"/>
      <c r="K70" s="44">
        <f>IF($A70="","",IF(INDEX(Takeoff_In!$D$2:$D$300,MATCH($A70,Takeoff_In!$A$2:$A$300,0))="",NA(),INDEX(Takeoff_In!$D$2:$D$300,MATCH($A70,Takeoff_In!$A$2:$A$300,0))))</f>
        <v/>
      </c>
      <c r="L70" s="44">
        <f>IF($A70="","",IF(INDEX(Takeoff_In!$E$2:$E$300,MATCH($A70,Takeoff_In!$A$2:$A$300,0))="",NA(),INDEX(Takeoff_In!$E$2:$E$300,MATCH($A70,Takeoff_In!$A$2:$A$300,0))))</f>
        <v/>
      </c>
      <c r="M70" s="45">
        <f>IF($A70="","",IF(ISNUMBER($J70),IF($E70="CU YD",ROUNDUP(K70*(1+$J70),1),ROUNDUP(K70*(1+$J70),0)),NA()))</f>
        <v/>
      </c>
      <c r="N70" s="45">
        <f>IF($A70="","",IF(ISNUMBER($J70),IF($E70="CU YD",ROUNDUP(L70*(1+$J70),1),ROUNDUP(L70*(1+$J70),0)),NA()))</f>
        <v/>
      </c>
      <c r="O70" s="46">
        <f>IF($A70="","",IF(ISNUMBER($F70),M70*$F70,NA()))</f>
        <v/>
      </c>
      <c r="P70" s="46">
        <f>IF($A70="","",IF(ISNUMBER($F70),N70*$F70,NA()))</f>
        <v/>
      </c>
      <c r="Q70" s="37" t="n"/>
    </row>
    <row r="71" ht="15" customHeight="1" s="26">
      <c r="A71" s="37" t="n"/>
      <c r="B71" s="37" t="n"/>
      <c r="C71" s="37" t="n"/>
      <c r="D71" s="37" t="n"/>
      <c r="E71" s="37" t="n"/>
      <c r="F71" s="40" t="n"/>
      <c r="G71" s="41" t="n"/>
      <c r="H71" s="42" t="n"/>
      <c r="I71" s="41" t="n"/>
      <c r="J71" s="43" t="n"/>
      <c r="K71" s="44">
        <f>IF($A71="","",IF(INDEX(Takeoff_In!$D$2:$D$300,MATCH($A71,Takeoff_In!$A$2:$A$300,0))="",NA(),INDEX(Takeoff_In!$D$2:$D$300,MATCH($A71,Takeoff_In!$A$2:$A$300,0))))</f>
        <v/>
      </c>
      <c r="L71" s="44">
        <f>IF($A71="","",IF(INDEX(Takeoff_In!$E$2:$E$300,MATCH($A71,Takeoff_In!$A$2:$A$300,0))="",NA(),INDEX(Takeoff_In!$E$2:$E$300,MATCH($A71,Takeoff_In!$A$2:$A$300,0))))</f>
        <v/>
      </c>
      <c r="M71" s="45">
        <f>IF($A71="","",IF(ISNUMBER($J71),IF($E71="CU YD",ROUNDUP(K71*(1+$J71),1),ROUNDUP(K71*(1+$J71),0)),NA()))</f>
        <v/>
      </c>
      <c r="N71" s="45">
        <f>IF($A71="","",IF(ISNUMBER($J71),IF($E71="CU YD",ROUNDUP(L71*(1+$J71),1),ROUNDUP(L71*(1+$J71),0)),NA()))</f>
        <v/>
      </c>
      <c r="O71" s="46">
        <f>IF($A71="","",IF(ISNUMBER($F71),M71*$F71,NA()))</f>
        <v/>
      </c>
      <c r="P71" s="46">
        <f>IF($A71="","",IF(ISNUMBER($F71),N71*$F71,NA()))</f>
        <v/>
      </c>
      <c r="Q71" s="37" t="n"/>
    </row>
    <row r="72" ht="15" customHeight="1" s="26">
      <c r="A72" s="37" t="n"/>
      <c r="B72" s="37" t="n"/>
      <c r="C72" s="37" t="n"/>
      <c r="D72" s="37" t="n"/>
      <c r="E72" s="37" t="n"/>
      <c r="F72" s="40" t="n"/>
      <c r="G72" s="41" t="n"/>
      <c r="H72" s="42" t="n"/>
      <c r="I72" s="41" t="n"/>
      <c r="J72" s="43" t="n"/>
      <c r="K72" s="44">
        <f>IF($A72="","",IF(INDEX(Takeoff_In!$D$2:$D$300,MATCH($A72,Takeoff_In!$A$2:$A$300,0))="",NA(),INDEX(Takeoff_In!$D$2:$D$300,MATCH($A72,Takeoff_In!$A$2:$A$300,0))))</f>
        <v/>
      </c>
      <c r="L72" s="44">
        <f>IF($A72="","",IF(INDEX(Takeoff_In!$E$2:$E$300,MATCH($A72,Takeoff_In!$A$2:$A$300,0))="",NA(),INDEX(Takeoff_In!$E$2:$E$300,MATCH($A72,Takeoff_In!$A$2:$A$300,0))))</f>
        <v/>
      </c>
      <c r="M72" s="45">
        <f>IF($A72="","",IF(ISNUMBER($J72),IF($E72="CU YD",ROUNDUP(K72*(1+$J72),1),ROUNDUP(K72*(1+$J72),0)),NA()))</f>
        <v/>
      </c>
      <c r="N72" s="45">
        <f>IF($A72="","",IF(ISNUMBER($J72),IF($E72="CU YD",ROUNDUP(L72*(1+$J72),1),ROUNDUP(L72*(1+$J72),0)),NA()))</f>
        <v/>
      </c>
      <c r="O72" s="46">
        <f>IF($A72="","",IF(ISNUMBER($F72),M72*$F72,NA()))</f>
        <v/>
      </c>
      <c r="P72" s="46">
        <f>IF($A72="","",IF(ISNUMBER($F72),N72*$F72,NA()))</f>
        <v/>
      </c>
      <c r="Q72" s="37" t="n"/>
    </row>
    <row r="73" ht="15" customHeight="1" s="26">
      <c r="A73" s="37" t="n"/>
      <c r="B73" s="37" t="n"/>
      <c r="C73" s="37" t="n"/>
      <c r="D73" s="37" t="n"/>
      <c r="E73" s="37" t="n"/>
      <c r="F73" s="40" t="n"/>
      <c r="G73" s="41" t="n"/>
      <c r="H73" s="42" t="n"/>
      <c r="I73" s="41" t="n"/>
      <c r="J73" s="43" t="n"/>
      <c r="K73" s="44">
        <f>IF($A73="","",IF(INDEX(Takeoff_In!$D$2:$D$300,MATCH($A73,Takeoff_In!$A$2:$A$300,0))="",NA(),INDEX(Takeoff_In!$D$2:$D$300,MATCH($A73,Takeoff_In!$A$2:$A$300,0))))</f>
        <v/>
      </c>
      <c r="L73" s="44">
        <f>IF($A73="","",IF(INDEX(Takeoff_In!$E$2:$E$300,MATCH($A73,Takeoff_In!$A$2:$A$300,0))="",NA(),INDEX(Takeoff_In!$E$2:$E$300,MATCH($A73,Takeoff_In!$A$2:$A$300,0))))</f>
        <v/>
      </c>
      <c r="M73" s="45">
        <f>IF($A73="","",IF(ISNUMBER($J73),IF($E73="CU YD",ROUNDUP(K73*(1+$J73),1),ROUNDUP(K73*(1+$J73),0)),NA()))</f>
        <v/>
      </c>
      <c r="N73" s="45">
        <f>IF($A73="","",IF(ISNUMBER($J73),IF($E73="CU YD",ROUNDUP(L73*(1+$J73),1),ROUNDUP(L73*(1+$J73),0)),NA()))</f>
        <v/>
      </c>
      <c r="O73" s="46">
        <f>IF($A73="","",IF(ISNUMBER($F73),M73*$F73,NA()))</f>
        <v/>
      </c>
      <c r="P73" s="46">
        <f>IF($A73="","",IF(ISNUMBER($F73),N73*$F73,NA()))</f>
        <v/>
      </c>
      <c r="Q73" s="37" t="n"/>
    </row>
    <row r="74" ht="15" customHeight="1" s="26">
      <c r="A74" s="37" t="n"/>
      <c r="B74" s="37" t="n"/>
      <c r="C74" s="37" t="n"/>
      <c r="D74" s="37" t="n"/>
      <c r="E74" s="37" t="n"/>
      <c r="F74" s="40" t="n"/>
      <c r="G74" s="41" t="n"/>
      <c r="H74" s="42" t="n"/>
      <c r="I74" s="41" t="n"/>
      <c r="J74" s="43" t="n"/>
      <c r="K74" s="44">
        <f>IF($A74="","",IF(INDEX(Takeoff_In!$D$2:$D$300,MATCH($A74,Takeoff_In!$A$2:$A$300,0))="",NA(),INDEX(Takeoff_In!$D$2:$D$300,MATCH($A74,Takeoff_In!$A$2:$A$300,0))))</f>
        <v/>
      </c>
      <c r="L74" s="44">
        <f>IF($A74="","",IF(INDEX(Takeoff_In!$E$2:$E$300,MATCH($A74,Takeoff_In!$A$2:$A$300,0))="",NA(),INDEX(Takeoff_In!$E$2:$E$300,MATCH($A74,Takeoff_In!$A$2:$A$300,0))))</f>
        <v/>
      </c>
      <c r="M74" s="45">
        <f>IF($A74="","",IF(ISNUMBER($J74),IF($E74="CU YD",ROUNDUP(K74*(1+$J74),1),ROUNDUP(K74*(1+$J74),0)),NA()))</f>
        <v/>
      </c>
      <c r="N74" s="45">
        <f>IF($A74="","",IF(ISNUMBER($J74),IF($E74="CU YD",ROUNDUP(L74*(1+$J74),1),ROUNDUP(L74*(1+$J74),0)),NA()))</f>
        <v/>
      </c>
      <c r="O74" s="46">
        <f>IF($A74="","",IF(ISNUMBER($F74),M74*$F74,NA()))</f>
        <v/>
      </c>
      <c r="P74" s="46">
        <f>IF($A74="","",IF(ISNUMBER($F74),N74*$F74,NA()))</f>
        <v/>
      </c>
      <c r="Q74" s="37" t="n"/>
    </row>
    <row r="75" ht="15" customHeight="1" s="26">
      <c r="A75" s="37" t="n"/>
      <c r="B75" s="37" t="n"/>
      <c r="C75" s="37" t="n"/>
      <c r="D75" s="37" t="n"/>
      <c r="E75" s="37" t="n"/>
      <c r="F75" s="40" t="n"/>
      <c r="G75" s="41" t="n"/>
      <c r="H75" s="42" t="n"/>
      <c r="I75" s="41" t="n"/>
      <c r="J75" s="43" t="n"/>
      <c r="K75" s="44">
        <f>IF($A75="","",IF(INDEX(Takeoff_In!$D$2:$D$300,MATCH($A75,Takeoff_In!$A$2:$A$300,0))="",NA(),INDEX(Takeoff_In!$D$2:$D$300,MATCH($A75,Takeoff_In!$A$2:$A$300,0))))</f>
        <v/>
      </c>
      <c r="L75" s="44">
        <f>IF($A75="","",IF(INDEX(Takeoff_In!$E$2:$E$300,MATCH($A75,Takeoff_In!$A$2:$A$300,0))="",NA(),INDEX(Takeoff_In!$E$2:$E$300,MATCH($A75,Takeoff_In!$A$2:$A$300,0))))</f>
        <v/>
      </c>
      <c r="M75" s="45">
        <f>IF($A75="","",IF(ISNUMBER($J75),IF($E75="CU YD",ROUNDUP(K75*(1+$J75),1),ROUNDUP(K75*(1+$J75),0)),NA()))</f>
        <v/>
      </c>
      <c r="N75" s="45">
        <f>IF($A75="","",IF(ISNUMBER($J75),IF($E75="CU YD",ROUNDUP(L75*(1+$J75),1),ROUNDUP(L75*(1+$J75),0)),NA()))</f>
        <v/>
      </c>
      <c r="O75" s="46">
        <f>IF($A75="","",IF(ISNUMBER($F75),M75*$F75,NA()))</f>
        <v/>
      </c>
      <c r="P75" s="46">
        <f>IF($A75="","",IF(ISNUMBER($F75),N75*$F75,NA()))</f>
        <v/>
      </c>
      <c r="Q75" s="37" t="n"/>
    </row>
    <row r="76" ht="15" customHeight="1" s="26">
      <c r="A76" s="37" t="n"/>
      <c r="B76" s="37" t="n"/>
      <c r="C76" s="37" t="n"/>
      <c r="D76" s="37" t="n"/>
      <c r="E76" s="37" t="n"/>
      <c r="F76" s="40" t="n"/>
      <c r="G76" s="41" t="n"/>
      <c r="H76" s="42" t="n"/>
      <c r="I76" s="41" t="n"/>
      <c r="J76" s="43" t="n"/>
      <c r="K76" s="44">
        <f>IF($A76="","",IF(INDEX(Takeoff_In!$D$2:$D$300,MATCH($A76,Takeoff_In!$A$2:$A$300,0))="",NA(),INDEX(Takeoff_In!$D$2:$D$300,MATCH($A76,Takeoff_In!$A$2:$A$300,0))))</f>
        <v/>
      </c>
      <c r="L76" s="44">
        <f>IF($A76="","",IF(INDEX(Takeoff_In!$E$2:$E$300,MATCH($A76,Takeoff_In!$A$2:$A$300,0))="",NA(),INDEX(Takeoff_In!$E$2:$E$300,MATCH($A76,Takeoff_In!$A$2:$A$300,0))))</f>
        <v/>
      </c>
      <c r="M76" s="45">
        <f>IF($A76="","",IF(ISNUMBER($J76),IF($E76="CU YD",ROUNDUP(K76*(1+$J76),1),ROUNDUP(K76*(1+$J76),0)),NA()))</f>
        <v/>
      </c>
      <c r="N76" s="45">
        <f>IF($A76="","",IF(ISNUMBER($J76),IF($E76="CU YD",ROUNDUP(L76*(1+$J76),1),ROUNDUP(L76*(1+$J76),0)),NA()))</f>
        <v/>
      </c>
      <c r="O76" s="46">
        <f>IF($A76="","",IF(ISNUMBER($F76),M76*$F76,NA()))</f>
        <v/>
      </c>
      <c r="P76" s="46">
        <f>IF($A76="","",IF(ISNUMBER($F76),N76*$F76,NA()))</f>
        <v/>
      </c>
      <c r="Q76" s="37" t="n"/>
    </row>
    <row r="77" ht="15" customHeight="1" s="26">
      <c r="A77" s="37" t="n"/>
      <c r="B77" s="37" t="n"/>
      <c r="C77" s="37" t="n"/>
      <c r="D77" s="37" t="n"/>
      <c r="E77" s="37" t="n"/>
      <c r="F77" s="40" t="n"/>
      <c r="G77" s="41" t="n"/>
      <c r="H77" s="42" t="n"/>
      <c r="I77" s="41" t="n"/>
      <c r="J77" s="43" t="n"/>
      <c r="K77" s="44">
        <f>IF($A77="","",IF(INDEX(Takeoff_In!$D$2:$D$300,MATCH($A77,Takeoff_In!$A$2:$A$300,0))="",NA(),INDEX(Takeoff_In!$D$2:$D$300,MATCH($A77,Takeoff_In!$A$2:$A$300,0))))</f>
        <v/>
      </c>
      <c r="L77" s="44">
        <f>IF($A77="","",IF(INDEX(Takeoff_In!$E$2:$E$300,MATCH($A77,Takeoff_In!$A$2:$A$300,0))="",NA(),INDEX(Takeoff_In!$E$2:$E$300,MATCH($A77,Takeoff_In!$A$2:$A$300,0))))</f>
        <v/>
      </c>
      <c r="M77" s="45">
        <f>IF($A77="","",IF(ISNUMBER($J77),IF($E77="CU YD",ROUNDUP(K77*(1+$J77),1),ROUNDUP(K77*(1+$J77),0)),NA()))</f>
        <v/>
      </c>
      <c r="N77" s="45">
        <f>IF($A77="","",IF(ISNUMBER($J77),IF($E77="CU YD",ROUNDUP(L77*(1+$J77),1),ROUNDUP(L77*(1+$J77),0)),NA()))</f>
        <v/>
      </c>
      <c r="O77" s="46">
        <f>IF($A77="","",IF(ISNUMBER($F77),M77*$F77,NA()))</f>
        <v/>
      </c>
      <c r="P77" s="46">
        <f>IF($A77="","",IF(ISNUMBER($F77),N77*$F77,NA()))</f>
        <v/>
      </c>
      <c r="Q77" s="37" t="n"/>
    </row>
    <row r="78" ht="15" customHeight="1" s="26">
      <c r="A78" s="37" t="n"/>
      <c r="B78" s="37" t="n"/>
      <c r="C78" s="37" t="n"/>
      <c r="D78" s="37" t="n"/>
      <c r="E78" s="37" t="n"/>
      <c r="F78" s="40" t="n"/>
      <c r="G78" s="41" t="n"/>
      <c r="H78" s="42" t="n"/>
      <c r="I78" s="41" t="n"/>
      <c r="J78" s="43" t="n"/>
      <c r="K78" s="44">
        <f>IF($A78="","",IF(INDEX(Takeoff_In!$D$2:$D$300,MATCH($A78,Takeoff_In!$A$2:$A$300,0))="",NA(),INDEX(Takeoff_In!$D$2:$D$300,MATCH($A78,Takeoff_In!$A$2:$A$300,0))))</f>
        <v/>
      </c>
      <c r="L78" s="44">
        <f>IF($A78="","",IF(INDEX(Takeoff_In!$E$2:$E$300,MATCH($A78,Takeoff_In!$A$2:$A$300,0))="",NA(),INDEX(Takeoff_In!$E$2:$E$300,MATCH($A78,Takeoff_In!$A$2:$A$300,0))))</f>
        <v/>
      </c>
      <c r="M78" s="45">
        <f>IF($A78="","",IF(ISNUMBER($J78),IF($E78="CU YD",ROUNDUP(K78*(1+$J78),1),ROUNDUP(K78*(1+$J78),0)),NA()))</f>
        <v/>
      </c>
      <c r="N78" s="45">
        <f>IF($A78="","",IF(ISNUMBER($J78),IF($E78="CU YD",ROUNDUP(L78*(1+$J78),1),ROUNDUP(L78*(1+$J78),0)),NA()))</f>
        <v/>
      </c>
      <c r="O78" s="46">
        <f>IF($A78="","",IF(ISNUMBER($F78),M78*$F78,NA()))</f>
        <v/>
      </c>
      <c r="P78" s="46">
        <f>IF($A78="","",IF(ISNUMBER($F78),N78*$F78,NA()))</f>
        <v/>
      </c>
      <c r="Q78" s="37" t="n"/>
    </row>
    <row r="79" ht="15" customHeight="1" s="26">
      <c r="A79" s="37" t="n"/>
      <c r="B79" s="37" t="n"/>
      <c r="C79" s="37" t="n"/>
      <c r="D79" s="37" t="n"/>
      <c r="E79" s="37" t="n"/>
      <c r="F79" s="40" t="n"/>
      <c r="G79" s="41" t="n"/>
      <c r="H79" s="42" t="n"/>
      <c r="I79" s="41" t="n"/>
      <c r="J79" s="43" t="n"/>
      <c r="K79" s="44">
        <f>IF($A79="","",IF(INDEX(Takeoff_In!$D$2:$D$300,MATCH($A79,Takeoff_In!$A$2:$A$300,0))="",NA(),INDEX(Takeoff_In!$D$2:$D$300,MATCH($A79,Takeoff_In!$A$2:$A$300,0))))</f>
        <v/>
      </c>
      <c r="L79" s="44">
        <f>IF($A79="","",IF(INDEX(Takeoff_In!$E$2:$E$300,MATCH($A79,Takeoff_In!$A$2:$A$300,0))="",NA(),INDEX(Takeoff_In!$E$2:$E$300,MATCH($A79,Takeoff_In!$A$2:$A$300,0))))</f>
        <v/>
      </c>
      <c r="M79" s="45">
        <f>IF($A79="","",IF(ISNUMBER($J79),IF($E79="CU YD",ROUNDUP(K79*(1+$J79),1),ROUNDUP(K79*(1+$J79),0)),NA()))</f>
        <v/>
      </c>
      <c r="N79" s="45">
        <f>IF($A79="","",IF(ISNUMBER($J79),IF($E79="CU YD",ROUNDUP(L79*(1+$J79),1),ROUNDUP(L79*(1+$J79),0)),NA()))</f>
        <v/>
      </c>
      <c r="O79" s="46">
        <f>IF($A79="","",IF(ISNUMBER($F79),M79*$F79,NA()))</f>
        <v/>
      </c>
      <c r="P79" s="46">
        <f>IF($A79="","",IF(ISNUMBER($F79),N79*$F79,NA()))</f>
        <v/>
      </c>
      <c r="Q79" s="37" t="n"/>
    </row>
    <row r="80" ht="15" customHeight="1" s="26">
      <c r="A80" s="37" t="n"/>
      <c r="B80" s="37" t="n"/>
      <c r="C80" s="37" t="n"/>
      <c r="D80" s="37" t="n"/>
      <c r="E80" s="37" t="n"/>
      <c r="F80" s="40" t="n"/>
      <c r="G80" s="41" t="n"/>
      <c r="H80" s="42" t="n"/>
      <c r="I80" s="41" t="n"/>
      <c r="J80" s="43" t="n"/>
      <c r="K80" s="44">
        <f>IF($A80="","",IF(INDEX(Takeoff_In!$D$2:$D$300,MATCH($A80,Takeoff_In!$A$2:$A$300,0))="",NA(),INDEX(Takeoff_In!$D$2:$D$300,MATCH($A80,Takeoff_In!$A$2:$A$300,0))))</f>
        <v/>
      </c>
      <c r="L80" s="44">
        <f>IF($A80="","",IF(INDEX(Takeoff_In!$E$2:$E$300,MATCH($A80,Takeoff_In!$A$2:$A$300,0))="",NA(),INDEX(Takeoff_In!$E$2:$E$300,MATCH($A80,Takeoff_In!$A$2:$A$300,0))))</f>
        <v/>
      </c>
      <c r="M80" s="45">
        <f>IF($A80="","",IF(ISNUMBER($J80),IF($E80="CU YD",ROUNDUP(K80*(1+$J80),1),ROUNDUP(K80*(1+$J80),0)),NA()))</f>
        <v/>
      </c>
      <c r="N80" s="45">
        <f>IF($A80="","",IF(ISNUMBER($J80),IF($E80="CU YD",ROUNDUP(L80*(1+$J80),1),ROUNDUP(L80*(1+$J80),0)),NA()))</f>
        <v/>
      </c>
      <c r="O80" s="46">
        <f>IF($A80="","",IF(ISNUMBER($F80),M80*$F80,NA()))</f>
        <v/>
      </c>
      <c r="P80" s="46">
        <f>IF($A80="","",IF(ISNUMBER($F80),N80*$F80,NA()))</f>
        <v/>
      </c>
      <c r="Q80" s="37" t="n"/>
    </row>
    <row r="81" ht="15" customHeight="1" s="26">
      <c r="A81" s="37" t="n"/>
      <c r="B81" s="37" t="n"/>
      <c r="C81" s="37" t="n"/>
      <c r="D81" s="37" t="n"/>
      <c r="E81" s="37" t="n"/>
      <c r="F81" s="40" t="n"/>
      <c r="G81" s="41" t="n"/>
      <c r="H81" s="42" t="n"/>
      <c r="I81" s="41" t="n"/>
      <c r="J81" s="43" t="n"/>
      <c r="K81" s="44">
        <f>IF($A81="","",IF(INDEX(Takeoff_In!$D$2:$D$300,MATCH($A81,Takeoff_In!$A$2:$A$300,0))="",NA(),INDEX(Takeoff_In!$D$2:$D$300,MATCH($A81,Takeoff_In!$A$2:$A$300,0))))</f>
        <v/>
      </c>
      <c r="L81" s="44">
        <f>IF($A81="","",IF(INDEX(Takeoff_In!$E$2:$E$300,MATCH($A81,Takeoff_In!$A$2:$A$300,0))="",NA(),INDEX(Takeoff_In!$E$2:$E$300,MATCH($A81,Takeoff_In!$A$2:$A$300,0))))</f>
        <v/>
      </c>
      <c r="M81" s="45">
        <f>IF($A81="","",IF(ISNUMBER($J81),IF($E81="CU YD",ROUNDUP(K81*(1+$J81),1),ROUNDUP(K81*(1+$J81),0)),NA()))</f>
        <v/>
      </c>
      <c r="N81" s="45">
        <f>IF($A81="","",IF(ISNUMBER($J81),IF($E81="CU YD",ROUNDUP(L81*(1+$J81),1),ROUNDUP(L81*(1+$J81),0)),NA()))</f>
        <v/>
      </c>
      <c r="O81" s="46">
        <f>IF($A81="","",IF(ISNUMBER($F81),M81*$F81,NA()))</f>
        <v/>
      </c>
      <c r="P81" s="46">
        <f>IF($A81="","",IF(ISNUMBER($F81),N81*$F81,NA()))</f>
        <v/>
      </c>
      <c r="Q81" s="37" t="n"/>
    </row>
    <row r="82" ht="15" customHeight="1" s="26">
      <c r="A82" s="37" t="n"/>
      <c r="B82" s="37" t="n"/>
      <c r="C82" s="37" t="n"/>
      <c r="D82" s="37" t="n"/>
      <c r="E82" s="37" t="n"/>
      <c r="F82" s="40" t="n"/>
      <c r="G82" s="41" t="n"/>
      <c r="H82" s="42" t="n"/>
      <c r="I82" s="41" t="n"/>
      <c r="J82" s="43" t="n"/>
      <c r="K82" s="44">
        <f>IF($A82="","",IF(INDEX(Takeoff_In!$D$2:$D$300,MATCH($A82,Takeoff_In!$A$2:$A$300,0))="",NA(),INDEX(Takeoff_In!$D$2:$D$300,MATCH($A82,Takeoff_In!$A$2:$A$300,0))))</f>
        <v/>
      </c>
      <c r="L82" s="44">
        <f>IF($A82="","",IF(INDEX(Takeoff_In!$E$2:$E$300,MATCH($A82,Takeoff_In!$A$2:$A$300,0))="",NA(),INDEX(Takeoff_In!$E$2:$E$300,MATCH($A82,Takeoff_In!$A$2:$A$300,0))))</f>
        <v/>
      </c>
      <c r="M82" s="45">
        <f>IF($A82="","",IF(ISNUMBER($J82),IF($E82="CU YD",ROUNDUP(K82*(1+$J82),1),ROUNDUP(K82*(1+$J82),0)),NA()))</f>
        <v/>
      </c>
      <c r="N82" s="45">
        <f>IF($A82="","",IF(ISNUMBER($J82),IF($E82="CU YD",ROUNDUP(L82*(1+$J82),1),ROUNDUP(L82*(1+$J82),0)),NA()))</f>
        <v/>
      </c>
      <c r="O82" s="46">
        <f>IF($A82="","",IF(ISNUMBER($F82),M82*$F82,NA()))</f>
        <v/>
      </c>
      <c r="P82" s="46">
        <f>IF($A82="","",IF(ISNUMBER($F82),N82*$F82,NA()))</f>
        <v/>
      </c>
      <c r="Q82" s="37" t="n"/>
    </row>
    <row r="83" ht="15" customHeight="1" s="26">
      <c r="A83" s="37" t="n"/>
      <c r="B83" s="37" t="n"/>
      <c r="C83" s="37" t="n"/>
      <c r="D83" s="37" t="n"/>
      <c r="E83" s="37" t="n"/>
      <c r="F83" s="40" t="n"/>
      <c r="G83" s="41" t="n"/>
      <c r="H83" s="42" t="n"/>
      <c r="I83" s="41" t="n"/>
      <c r="J83" s="43" t="n"/>
      <c r="K83" s="44">
        <f>IF($A83="","",IF(INDEX(Takeoff_In!$D$2:$D$300,MATCH($A83,Takeoff_In!$A$2:$A$300,0))="",NA(),INDEX(Takeoff_In!$D$2:$D$300,MATCH($A83,Takeoff_In!$A$2:$A$300,0))))</f>
        <v/>
      </c>
      <c r="L83" s="44">
        <f>IF($A83="","",IF(INDEX(Takeoff_In!$E$2:$E$300,MATCH($A83,Takeoff_In!$A$2:$A$300,0))="",NA(),INDEX(Takeoff_In!$E$2:$E$300,MATCH($A83,Takeoff_In!$A$2:$A$300,0))))</f>
        <v/>
      </c>
      <c r="M83" s="45">
        <f>IF($A83="","",IF(ISNUMBER($J83),IF($E83="CU YD",ROUNDUP(K83*(1+$J83),1),ROUNDUP(K83*(1+$J83),0)),NA()))</f>
        <v/>
      </c>
      <c r="N83" s="45">
        <f>IF($A83="","",IF(ISNUMBER($J83),IF($E83="CU YD",ROUNDUP(L83*(1+$J83),1),ROUNDUP(L83*(1+$J83),0)),NA()))</f>
        <v/>
      </c>
      <c r="O83" s="46">
        <f>IF($A83="","",IF(ISNUMBER($F83),M83*$F83,NA()))</f>
        <v/>
      </c>
      <c r="P83" s="46">
        <f>IF($A83="","",IF(ISNUMBER($F83),N83*$F83,NA()))</f>
        <v/>
      </c>
      <c r="Q83" s="37" t="n"/>
    </row>
    <row r="84" ht="15" customHeight="1" s="26">
      <c r="A84" s="37" t="n"/>
      <c r="B84" s="37" t="n"/>
      <c r="C84" s="37" t="n"/>
      <c r="D84" s="37" t="n"/>
      <c r="E84" s="37" t="n"/>
      <c r="F84" s="40" t="n"/>
      <c r="G84" s="41" t="n"/>
      <c r="H84" s="42" t="n"/>
      <c r="I84" s="41" t="n"/>
      <c r="J84" s="43" t="n"/>
      <c r="K84" s="44">
        <f>IF($A84="","",IF(INDEX(Takeoff_In!$D$2:$D$300,MATCH($A84,Takeoff_In!$A$2:$A$300,0))="",NA(),INDEX(Takeoff_In!$D$2:$D$300,MATCH($A84,Takeoff_In!$A$2:$A$300,0))))</f>
        <v/>
      </c>
      <c r="L84" s="44">
        <f>IF($A84="","",IF(INDEX(Takeoff_In!$E$2:$E$300,MATCH($A84,Takeoff_In!$A$2:$A$300,0))="",NA(),INDEX(Takeoff_In!$E$2:$E$300,MATCH($A84,Takeoff_In!$A$2:$A$300,0))))</f>
        <v/>
      </c>
      <c r="M84" s="45">
        <f>IF($A84="","",IF(ISNUMBER($J84),IF($E84="CU YD",ROUNDUP(K84*(1+$J84),1),ROUNDUP(K84*(1+$J84),0)),NA()))</f>
        <v/>
      </c>
      <c r="N84" s="45">
        <f>IF($A84="","",IF(ISNUMBER($J84),IF($E84="CU YD",ROUNDUP(L84*(1+$J84),1),ROUNDUP(L84*(1+$J84),0)),NA()))</f>
        <v/>
      </c>
      <c r="O84" s="46">
        <f>IF($A84="","",IF(ISNUMBER($F84),M84*$F84,NA()))</f>
        <v/>
      </c>
      <c r="P84" s="46">
        <f>IF($A84="","",IF(ISNUMBER($F84),N84*$F84,NA()))</f>
        <v/>
      </c>
      <c r="Q84" s="37" t="n"/>
    </row>
    <row r="85" ht="15" customHeight="1" s="26">
      <c r="A85" s="37" t="n"/>
      <c r="B85" s="37" t="n"/>
      <c r="C85" s="37" t="n"/>
      <c r="D85" s="37" t="n"/>
      <c r="E85" s="37" t="n"/>
      <c r="F85" s="40" t="n"/>
      <c r="G85" s="41" t="n"/>
      <c r="H85" s="42" t="n"/>
      <c r="I85" s="41" t="n"/>
      <c r="J85" s="43" t="n"/>
      <c r="K85" s="44">
        <f>IF($A85="","",IF(INDEX(Takeoff_In!$D$2:$D$300,MATCH($A85,Takeoff_In!$A$2:$A$300,0))="",NA(),INDEX(Takeoff_In!$D$2:$D$300,MATCH($A85,Takeoff_In!$A$2:$A$300,0))))</f>
        <v/>
      </c>
      <c r="L85" s="44">
        <f>IF($A85="","",IF(INDEX(Takeoff_In!$E$2:$E$300,MATCH($A85,Takeoff_In!$A$2:$A$300,0))="",NA(),INDEX(Takeoff_In!$E$2:$E$300,MATCH($A85,Takeoff_In!$A$2:$A$300,0))))</f>
        <v/>
      </c>
      <c r="M85" s="45">
        <f>IF($A85="","",IF(ISNUMBER($J85),IF($E85="CU YD",ROUNDUP(K85*(1+$J85),1),ROUNDUP(K85*(1+$J85),0)),NA()))</f>
        <v/>
      </c>
      <c r="N85" s="45">
        <f>IF($A85="","",IF(ISNUMBER($J85),IF($E85="CU YD",ROUNDUP(L85*(1+$J85),1),ROUNDUP(L85*(1+$J85),0)),NA()))</f>
        <v/>
      </c>
      <c r="O85" s="46">
        <f>IF($A85="","",IF(ISNUMBER($F85),M85*$F85,NA()))</f>
        <v/>
      </c>
      <c r="P85" s="46">
        <f>IF($A85="","",IF(ISNUMBER($F85),N85*$F85,NA()))</f>
        <v/>
      </c>
      <c r="Q85" s="37" t="n"/>
    </row>
    <row r="86" ht="15" customHeight="1" s="26">
      <c r="A86" s="37" t="n"/>
      <c r="B86" s="37" t="n"/>
      <c r="C86" s="37" t="n"/>
      <c r="D86" s="37" t="n"/>
      <c r="E86" s="37" t="n"/>
      <c r="F86" s="40" t="n"/>
      <c r="G86" s="41" t="n"/>
      <c r="H86" s="42" t="n"/>
      <c r="I86" s="41" t="n"/>
      <c r="J86" s="43" t="n"/>
      <c r="K86" s="44">
        <f>IF($A86="","",IF(INDEX(Takeoff_In!$D$2:$D$300,MATCH($A86,Takeoff_In!$A$2:$A$300,0))="",NA(),INDEX(Takeoff_In!$D$2:$D$300,MATCH($A86,Takeoff_In!$A$2:$A$300,0))))</f>
        <v/>
      </c>
      <c r="L86" s="44">
        <f>IF($A86="","",IF(INDEX(Takeoff_In!$E$2:$E$300,MATCH($A86,Takeoff_In!$A$2:$A$300,0))="",NA(),INDEX(Takeoff_In!$E$2:$E$300,MATCH($A86,Takeoff_In!$A$2:$A$300,0))))</f>
        <v/>
      </c>
      <c r="M86" s="45">
        <f>IF($A86="","",IF(ISNUMBER($J86),IF($E86="CU YD",ROUNDUP(K86*(1+$J86),1),ROUNDUP(K86*(1+$J86),0)),NA()))</f>
        <v/>
      </c>
      <c r="N86" s="45">
        <f>IF($A86="","",IF(ISNUMBER($J86),IF($E86="CU YD",ROUNDUP(L86*(1+$J86),1),ROUNDUP(L86*(1+$J86),0)),NA()))</f>
        <v/>
      </c>
      <c r="O86" s="46">
        <f>IF($A86="","",IF(ISNUMBER($F86),M86*$F86,NA()))</f>
        <v/>
      </c>
      <c r="P86" s="46">
        <f>IF($A86="","",IF(ISNUMBER($F86),N86*$F86,NA()))</f>
        <v/>
      </c>
      <c r="Q86" s="37" t="n"/>
    </row>
    <row r="87" ht="15" customHeight="1" s="26">
      <c r="A87" s="37" t="n"/>
      <c r="B87" s="37" t="n"/>
      <c r="C87" s="37" t="n"/>
      <c r="D87" s="37" t="n"/>
      <c r="E87" s="37" t="n"/>
      <c r="F87" s="40" t="n"/>
      <c r="G87" s="41" t="n"/>
      <c r="H87" s="42" t="n"/>
      <c r="I87" s="41" t="n"/>
      <c r="J87" s="43" t="n"/>
      <c r="K87" s="44">
        <f>IF($A87="","",IF(INDEX(Takeoff_In!$D$2:$D$300,MATCH($A87,Takeoff_In!$A$2:$A$300,0))="",NA(),INDEX(Takeoff_In!$D$2:$D$300,MATCH($A87,Takeoff_In!$A$2:$A$300,0))))</f>
        <v/>
      </c>
      <c r="L87" s="44">
        <f>IF($A87="","",IF(INDEX(Takeoff_In!$E$2:$E$300,MATCH($A87,Takeoff_In!$A$2:$A$300,0))="",NA(),INDEX(Takeoff_In!$E$2:$E$300,MATCH($A87,Takeoff_In!$A$2:$A$300,0))))</f>
        <v/>
      </c>
      <c r="M87" s="45">
        <f>IF($A87="","",IF(ISNUMBER($J87),IF($E87="CU YD",ROUNDUP(K87*(1+$J87),1),ROUNDUP(K87*(1+$J87),0)),NA()))</f>
        <v/>
      </c>
      <c r="N87" s="45">
        <f>IF($A87="","",IF(ISNUMBER($J87),IF($E87="CU YD",ROUNDUP(L87*(1+$J87),1),ROUNDUP(L87*(1+$J87),0)),NA()))</f>
        <v/>
      </c>
      <c r="O87" s="46">
        <f>IF($A87="","",IF(ISNUMBER($F87),M87*$F87,NA()))</f>
        <v/>
      </c>
      <c r="P87" s="46">
        <f>IF($A87="","",IF(ISNUMBER($F87),N87*$F87,NA()))</f>
        <v/>
      </c>
      <c r="Q87" s="37" t="n"/>
    </row>
    <row r="88" ht="15" customHeight="1" s="26">
      <c r="A88" s="37" t="n"/>
      <c r="B88" s="37" t="n"/>
      <c r="C88" s="37" t="n"/>
      <c r="D88" s="37" t="n"/>
      <c r="E88" s="37" t="n"/>
      <c r="F88" s="40" t="n"/>
      <c r="G88" s="41" t="n"/>
      <c r="H88" s="42" t="n"/>
      <c r="I88" s="41" t="n"/>
      <c r="J88" s="43" t="n"/>
      <c r="K88" s="44">
        <f>IF($A88="","",IF(INDEX(Takeoff_In!$D$2:$D$300,MATCH($A88,Takeoff_In!$A$2:$A$300,0))="",NA(),INDEX(Takeoff_In!$D$2:$D$300,MATCH($A88,Takeoff_In!$A$2:$A$300,0))))</f>
        <v/>
      </c>
      <c r="L88" s="44">
        <f>IF($A88="","",IF(INDEX(Takeoff_In!$E$2:$E$300,MATCH($A88,Takeoff_In!$A$2:$A$300,0))="",NA(),INDEX(Takeoff_In!$E$2:$E$300,MATCH($A88,Takeoff_In!$A$2:$A$300,0))))</f>
        <v/>
      </c>
      <c r="M88" s="45">
        <f>IF($A88="","",IF(ISNUMBER($J88),IF($E88="CU YD",ROUNDUP(K88*(1+$J88),1),ROUNDUP(K88*(1+$J88),0)),NA()))</f>
        <v/>
      </c>
      <c r="N88" s="45">
        <f>IF($A88="","",IF(ISNUMBER($J88),IF($E88="CU YD",ROUNDUP(L88*(1+$J88),1),ROUNDUP(L88*(1+$J88),0)),NA()))</f>
        <v/>
      </c>
      <c r="O88" s="46">
        <f>IF($A88="","",IF(ISNUMBER($F88),M88*$F88,NA()))</f>
        <v/>
      </c>
      <c r="P88" s="46">
        <f>IF($A88="","",IF(ISNUMBER($F88),N88*$F88,NA()))</f>
        <v/>
      </c>
      <c r="Q88" s="37" t="n"/>
    </row>
    <row r="89" ht="15" customHeight="1" s="26">
      <c r="A89" s="37" t="n"/>
      <c r="B89" s="37" t="n"/>
      <c r="C89" s="37" t="n"/>
      <c r="D89" s="37" t="n"/>
      <c r="E89" s="37" t="n"/>
      <c r="F89" s="40" t="n"/>
      <c r="G89" s="41" t="n"/>
      <c r="H89" s="42" t="n"/>
      <c r="I89" s="41" t="n"/>
      <c r="J89" s="43" t="n"/>
      <c r="K89" s="44">
        <f>IF($A89="","",IF(INDEX(Takeoff_In!$D$2:$D$300,MATCH($A89,Takeoff_In!$A$2:$A$300,0))="",NA(),INDEX(Takeoff_In!$D$2:$D$300,MATCH($A89,Takeoff_In!$A$2:$A$300,0))))</f>
        <v/>
      </c>
      <c r="L89" s="44">
        <f>IF($A89="","",IF(INDEX(Takeoff_In!$E$2:$E$300,MATCH($A89,Takeoff_In!$A$2:$A$300,0))="",NA(),INDEX(Takeoff_In!$E$2:$E$300,MATCH($A89,Takeoff_In!$A$2:$A$300,0))))</f>
        <v/>
      </c>
      <c r="M89" s="45">
        <f>IF($A89="","",IF(ISNUMBER($J89),IF($E89="CU YD",ROUNDUP(K89*(1+$J89),1),ROUNDUP(K89*(1+$J89),0)),NA()))</f>
        <v/>
      </c>
      <c r="N89" s="45">
        <f>IF($A89="","",IF(ISNUMBER($J89),IF($E89="CU YD",ROUNDUP(L89*(1+$J89),1),ROUNDUP(L89*(1+$J89),0)),NA()))</f>
        <v/>
      </c>
      <c r="O89" s="46">
        <f>IF($A89="","",IF(ISNUMBER($F89),M89*$F89,NA()))</f>
        <v/>
      </c>
      <c r="P89" s="46">
        <f>IF($A89="","",IF(ISNUMBER($F89),N89*$F89,NA()))</f>
        <v/>
      </c>
      <c r="Q89" s="37" t="n"/>
    </row>
    <row r="90" ht="15" customHeight="1" s="26">
      <c r="A90" s="37" t="n"/>
      <c r="B90" s="37" t="n"/>
      <c r="C90" s="37" t="n"/>
      <c r="D90" s="37" t="n"/>
      <c r="E90" s="37" t="n"/>
      <c r="F90" s="40" t="n"/>
      <c r="G90" s="41" t="n"/>
      <c r="H90" s="42" t="n"/>
      <c r="I90" s="41" t="n"/>
      <c r="J90" s="43" t="n"/>
      <c r="K90" s="44">
        <f>IF($A90="","",IF(INDEX(Takeoff_In!$D$2:$D$300,MATCH($A90,Takeoff_In!$A$2:$A$300,0))="",NA(),INDEX(Takeoff_In!$D$2:$D$300,MATCH($A90,Takeoff_In!$A$2:$A$300,0))))</f>
        <v/>
      </c>
      <c r="L90" s="44">
        <f>IF($A90="","",IF(INDEX(Takeoff_In!$E$2:$E$300,MATCH($A90,Takeoff_In!$A$2:$A$300,0))="",NA(),INDEX(Takeoff_In!$E$2:$E$300,MATCH($A90,Takeoff_In!$A$2:$A$300,0))))</f>
        <v/>
      </c>
      <c r="M90" s="45">
        <f>IF($A90="","",IF(ISNUMBER($J90),IF($E90="CU YD",ROUNDUP(K90*(1+$J90),1),ROUNDUP(K90*(1+$J90),0)),NA()))</f>
        <v/>
      </c>
      <c r="N90" s="45">
        <f>IF($A90="","",IF(ISNUMBER($J90),IF($E90="CU YD",ROUNDUP(L90*(1+$J90),1),ROUNDUP(L90*(1+$J90),0)),NA()))</f>
        <v/>
      </c>
      <c r="O90" s="46">
        <f>IF($A90="","",IF(ISNUMBER($F90),M90*$F90,NA()))</f>
        <v/>
      </c>
      <c r="P90" s="46">
        <f>IF($A90="","",IF(ISNUMBER($F90),N90*$F90,NA()))</f>
        <v/>
      </c>
      <c r="Q90" s="37" t="n"/>
    </row>
    <row r="91" ht="15" customHeight="1" s="26">
      <c r="A91" s="37" t="n"/>
      <c r="B91" s="37" t="n"/>
      <c r="C91" s="37" t="n"/>
      <c r="D91" s="37" t="n"/>
      <c r="E91" s="37" t="n"/>
      <c r="F91" s="40" t="n"/>
      <c r="G91" s="41" t="n"/>
      <c r="H91" s="42" t="n"/>
      <c r="I91" s="41" t="n"/>
      <c r="J91" s="43" t="n"/>
      <c r="K91" s="44">
        <f>IF($A91="","",IF(INDEX(Takeoff_In!$D$2:$D$300,MATCH($A91,Takeoff_In!$A$2:$A$300,0))="",NA(),INDEX(Takeoff_In!$D$2:$D$300,MATCH($A91,Takeoff_In!$A$2:$A$300,0))))</f>
        <v/>
      </c>
      <c r="L91" s="44">
        <f>IF($A91="","",IF(INDEX(Takeoff_In!$E$2:$E$300,MATCH($A91,Takeoff_In!$A$2:$A$300,0))="",NA(),INDEX(Takeoff_In!$E$2:$E$300,MATCH($A91,Takeoff_In!$A$2:$A$300,0))))</f>
        <v/>
      </c>
      <c r="M91" s="45">
        <f>IF($A91="","",IF(ISNUMBER($J91),IF($E91="CU YD",ROUNDUP(K91*(1+$J91),1),ROUNDUP(K91*(1+$J91),0)),NA()))</f>
        <v/>
      </c>
      <c r="N91" s="45">
        <f>IF($A91="","",IF(ISNUMBER($J91),IF($E91="CU YD",ROUNDUP(L91*(1+$J91),1),ROUNDUP(L91*(1+$J91),0)),NA()))</f>
        <v/>
      </c>
      <c r="O91" s="46">
        <f>IF($A91="","",IF(ISNUMBER($F91),M91*$F91,NA()))</f>
        <v/>
      </c>
      <c r="P91" s="46">
        <f>IF($A91="","",IF(ISNUMBER($F91),N91*$F91,NA()))</f>
        <v/>
      </c>
      <c r="Q91" s="37" t="n"/>
    </row>
    <row r="92" ht="15" customHeight="1" s="26">
      <c r="A92" s="37" t="n"/>
      <c r="B92" s="37" t="n"/>
      <c r="C92" s="37" t="n"/>
      <c r="D92" s="37" t="n"/>
      <c r="E92" s="37" t="n"/>
      <c r="F92" s="40" t="n"/>
      <c r="G92" s="41" t="n"/>
      <c r="H92" s="42" t="n"/>
      <c r="I92" s="41" t="n"/>
      <c r="J92" s="43" t="n"/>
      <c r="K92" s="44">
        <f>IF($A92="","",IF(INDEX(Takeoff_In!$D$2:$D$300,MATCH($A92,Takeoff_In!$A$2:$A$300,0))="",NA(),INDEX(Takeoff_In!$D$2:$D$300,MATCH($A92,Takeoff_In!$A$2:$A$300,0))))</f>
        <v/>
      </c>
      <c r="L92" s="44">
        <f>IF($A92="","",IF(INDEX(Takeoff_In!$E$2:$E$300,MATCH($A92,Takeoff_In!$A$2:$A$300,0))="",NA(),INDEX(Takeoff_In!$E$2:$E$300,MATCH($A92,Takeoff_In!$A$2:$A$300,0))))</f>
        <v/>
      </c>
      <c r="M92" s="45">
        <f>IF($A92="","",IF(ISNUMBER($J92),IF($E92="CU YD",ROUNDUP(K92*(1+$J92),1),ROUNDUP(K92*(1+$J92),0)),NA()))</f>
        <v/>
      </c>
      <c r="N92" s="45">
        <f>IF($A92="","",IF(ISNUMBER($J92),IF($E92="CU YD",ROUNDUP(L92*(1+$J92),1),ROUNDUP(L92*(1+$J92),0)),NA()))</f>
        <v/>
      </c>
      <c r="O92" s="46">
        <f>IF($A92="","",IF(ISNUMBER($F92),M92*$F92,NA()))</f>
        <v/>
      </c>
      <c r="P92" s="46">
        <f>IF($A92="","",IF(ISNUMBER($F92),N92*$F92,NA()))</f>
        <v/>
      </c>
      <c r="Q92" s="37" t="n"/>
    </row>
    <row r="93" ht="15" customHeight="1" s="26">
      <c r="A93" s="37" t="n"/>
      <c r="B93" s="37" t="n"/>
      <c r="C93" s="37" t="n"/>
      <c r="D93" s="37" t="n"/>
      <c r="E93" s="37" t="n"/>
      <c r="F93" s="40" t="n"/>
      <c r="G93" s="41" t="n"/>
      <c r="H93" s="42" t="n"/>
      <c r="I93" s="41" t="n"/>
      <c r="J93" s="43" t="n"/>
      <c r="K93" s="44">
        <f>IF($A93="","",IF(INDEX(Takeoff_In!$D$2:$D$300,MATCH($A93,Takeoff_In!$A$2:$A$300,0))="",NA(),INDEX(Takeoff_In!$D$2:$D$300,MATCH($A93,Takeoff_In!$A$2:$A$300,0))))</f>
        <v/>
      </c>
      <c r="L93" s="44">
        <f>IF($A93="","",IF(INDEX(Takeoff_In!$E$2:$E$300,MATCH($A93,Takeoff_In!$A$2:$A$300,0))="",NA(),INDEX(Takeoff_In!$E$2:$E$300,MATCH($A93,Takeoff_In!$A$2:$A$300,0))))</f>
        <v/>
      </c>
      <c r="M93" s="45">
        <f>IF($A93="","",IF(ISNUMBER($J93),IF($E93="CU YD",ROUNDUP(K93*(1+$J93),1),ROUNDUP(K93*(1+$J93),0)),NA()))</f>
        <v/>
      </c>
      <c r="N93" s="45">
        <f>IF($A93="","",IF(ISNUMBER($J93),IF($E93="CU YD",ROUNDUP(L93*(1+$J93),1),ROUNDUP(L93*(1+$J93),0)),NA()))</f>
        <v/>
      </c>
      <c r="O93" s="46">
        <f>IF($A93="","",IF(ISNUMBER($F93),M93*$F93,NA()))</f>
        <v/>
      </c>
      <c r="P93" s="46">
        <f>IF($A93="","",IF(ISNUMBER($F93),N93*$F93,NA()))</f>
        <v/>
      </c>
      <c r="Q93" s="37" t="n"/>
    </row>
    <row r="94" ht="15" customHeight="1" s="26">
      <c r="A94" s="37" t="n"/>
      <c r="B94" s="37" t="n"/>
      <c r="C94" s="37" t="n"/>
      <c r="D94" s="37" t="n"/>
      <c r="E94" s="37" t="n"/>
      <c r="F94" s="40" t="n"/>
      <c r="G94" s="41" t="n"/>
      <c r="H94" s="42" t="n"/>
      <c r="I94" s="41" t="n"/>
      <c r="J94" s="43" t="n"/>
      <c r="K94" s="44">
        <f>IF($A94="","",IF(INDEX(Takeoff_In!$D$2:$D$300,MATCH($A94,Takeoff_In!$A$2:$A$300,0))="",NA(),INDEX(Takeoff_In!$D$2:$D$300,MATCH($A94,Takeoff_In!$A$2:$A$300,0))))</f>
        <v/>
      </c>
      <c r="L94" s="44">
        <f>IF($A94="","",IF(INDEX(Takeoff_In!$E$2:$E$300,MATCH($A94,Takeoff_In!$A$2:$A$300,0))="",NA(),INDEX(Takeoff_In!$E$2:$E$300,MATCH($A94,Takeoff_In!$A$2:$A$300,0))))</f>
        <v/>
      </c>
      <c r="M94" s="45">
        <f>IF($A94="","",IF(ISNUMBER($J94),IF($E94="CU YD",ROUNDUP(K94*(1+$J94),1),ROUNDUP(K94*(1+$J94),0)),NA()))</f>
        <v/>
      </c>
      <c r="N94" s="45">
        <f>IF($A94="","",IF(ISNUMBER($J94),IF($E94="CU YD",ROUNDUP(L94*(1+$J94),1),ROUNDUP(L94*(1+$J94),0)),NA()))</f>
        <v/>
      </c>
      <c r="O94" s="46">
        <f>IF($A94="","",IF(ISNUMBER($F94),M94*$F94,NA()))</f>
        <v/>
      </c>
      <c r="P94" s="46">
        <f>IF($A94="","",IF(ISNUMBER($F94),N94*$F94,NA()))</f>
        <v/>
      </c>
      <c r="Q94" s="37" t="n"/>
    </row>
    <row r="95" ht="15" customHeight="1" s="26">
      <c r="A95" s="37" t="n"/>
      <c r="B95" s="37" t="n"/>
      <c r="C95" s="37" t="n"/>
      <c r="D95" s="37" t="n"/>
      <c r="E95" s="37" t="n"/>
      <c r="F95" s="40" t="n"/>
      <c r="G95" s="41" t="n"/>
      <c r="H95" s="42" t="n"/>
      <c r="I95" s="41" t="n"/>
      <c r="J95" s="43" t="n"/>
      <c r="K95" s="44">
        <f>IF($A95="","",IF(INDEX(Takeoff_In!$D$2:$D$300,MATCH($A95,Takeoff_In!$A$2:$A$300,0))="",NA(),INDEX(Takeoff_In!$D$2:$D$300,MATCH($A95,Takeoff_In!$A$2:$A$300,0))))</f>
        <v/>
      </c>
      <c r="L95" s="44">
        <f>IF($A95="","",IF(INDEX(Takeoff_In!$E$2:$E$300,MATCH($A95,Takeoff_In!$A$2:$A$300,0))="",NA(),INDEX(Takeoff_In!$E$2:$E$300,MATCH($A95,Takeoff_In!$A$2:$A$300,0))))</f>
        <v/>
      </c>
      <c r="M95" s="45">
        <f>IF($A95="","",IF(ISNUMBER($J95),IF($E95="CU YD",ROUNDUP(K95*(1+$J95),1),ROUNDUP(K95*(1+$J95),0)),NA()))</f>
        <v/>
      </c>
      <c r="N95" s="45">
        <f>IF($A95="","",IF(ISNUMBER($J95),IF($E95="CU YD",ROUNDUP(L95*(1+$J95),1),ROUNDUP(L95*(1+$J95),0)),NA()))</f>
        <v/>
      </c>
      <c r="O95" s="46">
        <f>IF($A95="","",IF(ISNUMBER($F95),M95*$F95,NA()))</f>
        <v/>
      </c>
      <c r="P95" s="46">
        <f>IF($A95="","",IF(ISNUMBER($F95),N95*$F95,NA()))</f>
        <v/>
      </c>
      <c r="Q95" s="37" t="n"/>
    </row>
    <row r="96" ht="15" customHeight="1" s="26">
      <c r="A96" s="37" t="n"/>
      <c r="B96" s="37" t="n"/>
      <c r="C96" s="37" t="n"/>
      <c r="D96" s="37" t="n"/>
      <c r="E96" s="37" t="n"/>
      <c r="F96" s="40" t="n"/>
      <c r="G96" s="41" t="n"/>
      <c r="H96" s="42" t="n"/>
      <c r="I96" s="41" t="n"/>
      <c r="J96" s="43" t="n"/>
      <c r="K96" s="44">
        <f>IF($A96="","",IF(INDEX(Takeoff_In!$D$2:$D$300,MATCH($A96,Takeoff_In!$A$2:$A$300,0))="",NA(),INDEX(Takeoff_In!$D$2:$D$300,MATCH($A96,Takeoff_In!$A$2:$A$300,0))))</f>
        <v/>
      </c>
      <c r="L96" s="44">
        <f>IF($A96="","",IF(INDEX(Takeoff_In!$E$2:$E$300,MATCH($A96,Takeoff_In!$A$2:$A$300,0))="",NA(),INDEX(Takeoff_In!$E$2:$E$300,MATCH($A96,Takeoff_In!$A$2:$A$300,0))))</f>
        <v/>
      </c>
      <c r="M96" s="45">
        <f>IF($A96="","",IF(ISNUMBER($J96),IF($E96="CU YD",ROUNDUP(K96*(1+$J96),1),ROUNDUP(K96*(1+$J96),0)),NA()))</f>
        <v/>
      </c>
      <c r="N96" s="45">
        <f>IF($A96="","",IF(ISNUMBER($J96),IF($E96="CU YD",ROUNDUP(L96*(1+$J96),1),ROUNDUP(L96*(1+$J96),0)),NA()))</f>
        <v/>
      </c>
      <c r="O96" s="46">
        <f>IF($A96="","",IF(ISNUMBER($F96),M96*$F96,NA()))</f>
        <v/>
      </c>
      <c r="P96" s="46">
        <f>IF($A96="","",IF(ISNUMBER($F96),N96*$F96,NA()))</f>
        <v/>
      </c>
      <c r="Q96" s="37" t="n"/>
    </row>
    <row r="97" ht="15" customHeight="1" s="26">
      <c r="A97" s="37" t="n"/>
      <c r="B97" s="37" t="n"/>
      <c r="C97" s="37" t="n"/>
      <c r="D97" s="37" t="n"/>
      <c r="E97" s="37" t="n"/>
      <c r="F97" s="40" t="n"/>
      <c r="G97" s="41" t="n"/>
      <c r="H97" s="42" t="n"/>
      <c r="I97" s="41" t="n"/>
      <c r="J97" s="43" t="n"/>
      <c r="K97" s="44">
        <f>IF($A97="","",IF(INDEX(Takeoff_In!$D$2:$D$300,MATCH($A97,Takeoff_In!$A$2:$A$300,0))="",NA(),INDEX(Takeoff_In!$D$2:$D$300,MATCH($A97,Takeoff_In!$A$2:$A$300,0))))</f>
        <v/>
      </c>
      <c r="L97" s="44">
        <f>IF($A97="","",IF(INDEX(Takeoff_In!$E$2:$E$300,MATCH($A97,Takeoff_In!$A$2:$A$300,0))="",NA(),INDEX(Takeoff_In!$E$2:$E$300,MATCH($A97,Takeoff_In!$A$2:$A$300,0))))</f>
        <v/>
      </c>
      <c r="M97" s="45">
        <f>IF($A97="","",IF(ISNUMBER($J97),IF($E97="CU YD",ROUNDUP(K97*(1+$J97),1),ROUNDUP(K97*(1+$J97),0)),NA()))</f>
        <v/>
      </c>
      <c r="N97" s="45">
        <f>IF($A97="","",IF(ISNUMBER($J97),IF($E97="CU YD",ROUNDUP(L97*(1+$J97),1),ROUNDUP(L97*(1+$J97),0)),NA()))</f>
        <v/>
      </c>
      <c r="O97" s="46">
        <f>IF($A97="","",IF(ISNUMBER($F97),M97*$F97,NA()))</f>
        <v/>
      </c>
      <c r="P97" s="46">
        <f>IF($A97="","",IF(ISNUMBER($F97),N97*$F97,NA()))</f>
        <v/>
      </c>
      <c r="Q97" s="37" t="n"/>
    </row>
    <row r="98" ht="15" customHeight="1" s="26">
      <c r="A98" s="37" t="n"/>
      <c r="B98" s="37" t="n"/>
      <c r="C98" s="37" t="n"/>
      <c r="D98" s="37" t="n"/>
      <c r="E98" s="37" t="n"/>
      <c r="F98" s="40" t="n"/>
      <c r="G98" s="41" t="n"/>
      <c r="H98" s="42" t="n"/>
      <c r="I98" s="41" t="n"/>
      <c r="J98" s="43" t="n"/>
      <c r="K98" s="44">
        <f>IF($A98="","",IF(INDEX(Takeoff_In!$D$2:$D$300,MATCH($A98,Takeoff_In!$A$2:$A$300,0))="",NA(),INDEX(Takeoff_In!$D$2:$D$300,MATCH($A98,Takeoff_In!$A$2:$A$300,0))))</f>
        <v/>
      </c>
      <c r="L98" s="44">
        <f>IF($A98="","",IF(INDEX(Takeoff_In!$E$2:$E$300,MATCH($A98,Takeoff_In!$A$2:$A$300,0))="",NA(),INDEX(Takeoff_In!$E$2:$E$300,MATCH($A98,Takeoff_In!$A$2:$A$300,0))))</f>
        <v/>
      </c>
      <c r="M98" s="45">
        <f>IF($A98="","",IF(ISNUMBER($J98),IF($E98="CU YD",ROUNDUP(K98*(1+$J98),1),ROUNDUP(K98*(1+$J98),0)),NA()))</f>
        <v/>
      </c>
      <c r="N98" s="45">
        <f>IF($A98="","",IF(ISNUMBER($J98),IF($E98="CU YD",ROUNDUP(L98*(1+$J98),1),ROUNDUP(L98*(1+$J98),0)),NA()))</f>
        <v/>
      </c>
      <c r="O98" s="46">
        <f>IF($A98="","",IF(ISNUMBER($F98),M98*$F98,NA()))</f>
        <v/>
      </c>
      <c r="P98" s="46">
        <f>IF($A98="","",IF(ISNUMBER($F98),N98*$F98,NA()))</f>
        <v/>
      </c>
      <c r="Q98" s="37" t="n"/>
    </row>
    <row r="99" ht="15" customHeight="1" s="26">
      <c r="A99" s="37" t="n"/>
      <c r="B99" s="37" t="n"/>
      <c r="C99" s="37" t="n"/>
      <c r="D99" s="37" t="n"/>
      <c r="E99" s="37" t="n"/>
      <c r="F99" s="40" t="n"/>
      <c r="G99" s="41" t="n"/>
      <c r="H99" s="42" t="n"/>
      <c r="I99" s="41" t="n"/>
      <c r="J99" s="43" t="n"/>
      <c r="K99" s="44">
        <f>IF($A99="","",IF(INDEX(Takeoff_In!$D$2:$D$300,MATCH($A99,Takeoff_In!$A$2:$A$300,0))="",NA(),INDEX(Takeoff_In!$D$2:$D$300,MATCH($A99,Takeoff_In!$A$2:$A$300,0))))</f>
        <v/>
      </c>
      <c r="L99" s="44">
        <f>IF($A99="","",IF(INDEX(Takeoff_In!$E$2:$E$300,MATCH($A99,Takeoff_In!$A$2:$A$300,0))="",NA(),INDEX(Takeoff_In!$E$2:$E$300,MATCH($A99,Takeoff_In!$A$2:$A$300,0))))</f>
        <v/>
      </c>
      <c r="M99" s="45">
        <f>IF($A99="","",IF(ISNUMBER($J99),IF($E99="CU YD",ROUNDUP(K99*(1+$J99),1),ROUNDUP(K99*(1+$J99),0)),NA()))</f>
        <v/>
      </c>
      <c r="N99" s="45">
        <f>IF($A99="","",IF(ISNUMBER($J99),IF($E99="CU YD",ROUNDUP(L99*(1+$J99),1),ROUNDUP(L99*(1+$J99),0)),NA()))</f>
        <v/>
      </c>
      <c r="O99" s="46">
        <f>IF($A99="","",IF(ISNUMBER($F99),M99*$F99,NA()))</f>
        <v/>
      </c>
      <c r="P99" s="46">
        <f>IF($A99="","",IF(ISNUMBER($F99),N99*$F99,NA()))</f>
        <v/>
      </c>
      <c r="Q99" s="37" t="n"/>
    </row>
    <row r="100" ht="15" customHeight="1" s="26">
      <c r="A100" s="37" t="n"/>
      <c r="B100" s="37" t="n"/>
      <c r="C100" s="37" t="n"/>
      <c r="D100" s="37" t="n"/>
      <c r="E100" s="37" t="n"/>
      <c r="F100" s="40" t="n"/>
      <c r="G100" s="41" t="n"/>
      <c r="H100" s="42" t="n"/>
      <c r="I100" s="41" t="n"/>
      <c r="J100" s="43" t="n"/>
      <c r="K100" s="44">
        <f>IF($A100="","",IF(INDEX(Takeoff_In!$D$2:$D$300,MATCH($A100,Takeoff_In!$A$2:$A$300,0))="",NA(),INDEX(Takeoff_In!$D$2:$D$300,MATCH($A100,Takeoff_In!$A$2:$A$300,0))))</f>
        <v/>
      </c>
      <c r="L100" s="44">
        <f>IF($A100="","",IF(INDEX(Takeoff_In!$E$2:$E$300,MATCH($A100,Takeoff_In!$A$2:$A$300,0))="",NA(),INDEX(Takeoff_In!$E$2:$E$300,MATCH($A100,Takeoff_In!$A$2:$A$300,0))))</f>
        <v/>
      </c>
      <c r="M100" s="45">
        <f>IF($A100="","",IF(ISNUMBER($J100),IF($E100="CU YD",ROUNDUP(K100*(1+$J100),1),ROUNDUP(K100*(1+$J100),0)),NA()))</f>
        <v/>
      </c>
      <c r="N100" s="45">
        <f>IF($A100="","",IF(ISNUMBER($J100),IF($E100="CU YD",ROUNDUP(L100*(1+$J100),1),ROUNDUP(L100*(1+$J100),0)),NA()))</f>
        <v/>
      </c>
      <c r="O100" s="46">
        <f>IF($A100="","",IF(ISNUMBER($F100),M100*$F100,NA()))</f>
        <v/>
      </c>
      <c r="P100" s="46">
        <f>IF($A100="","",IF(ISNUMBER($F100),N100*$F100,NA()))</f>
        <v/>
      </c>
      <c r="Q100" s="37" t="n"/>
    </row>
    <row r="101" ht="15" customHeight="1" s="26">
      <c r="A101" s="37" t="n"/>
      <c r="B101" s="37" t="n"/>
      <c r="C101" s="37" t="n"/>
      <c r="D101" s="37" t="n"/>
      <c r="E101" s="37" t="n"/>
      <c r="F101" s="40" t="n"/>
      <c r="G101" s="41" t="n"/>
      <c r="H101" s="42" t="n"/>
      <c r="I101" s="41" t="n"/>
      <c r="J101" s="43" t="n"/>
      <c r="K101" s="44">
        <f>IF($A101="","",IF(INDEX(Takeoff_In!$D$2:$D$300,MATCH($A101,Takeoff_In!$A$2:$A$300,0))="",NA(),INDEX(Takeoff_In!$D$2:$D$300,MATCH($A101,Takeoff_In!$A$2:$A$300,0))))</f>
        <v/>
      </c>
      <c r="L101" s="44">
        <f>IF($A101="","",IF(INDEX(Takeoff_In!$E$2:$E$300,MATCH($A101,Takeoff_In!$A$2:$A$300,0))="",NA(),INDEX(Takeoff_In!$E$2:$E$300,MATCH($A101,Takeoff_In!$A$2:$A$300,0))))</f>
        <v/>
      </c>
      <c r="M101" s="45">
        <f>IF($A101="","",IF(ISNUMBER($J101),IF($E101="CU YD",ROUNDUP(K101*(1+$J101),1),ROUNDUP(K101*(1+$J101),0)),NA()))</f>
        <v/>
      </c>
      <c r="N101" s="45">
        <f>IF($A101="","",IF(ISNUMBER($J101),IF($E101="CU YD",ROUNDUP(L101*(1+$J101),1),ROUNDUP(L101*(1+$J101),0)),NA()))</f>
        <v/>
      </c>
      <c r="O101" s="46">
        <f>IF($A101="","",IF(ISNUMBER($F101),M101*$F101,NA()))</f>
        <v/>
      </c>
      <c r="P101" s="46">
        <f>IF($A101="","",IF(ISNUMBER($F101),N101*$F101,NA()))</f>
        <v/>
      </c>
      <c r="Q101" s="37" t="n"/>
    </row>
    <row r="102" ht="15" customHeight="1" s="26">
      <c r="A102" s="37" t="n"/>
      <c r="B102" s="37" t="n"/>
      <c r="C102" s="37" t="n"/>
      <c r="D102" s="37" t="n"/>
      <c r="E102" s="37" t="n"/>
      <c r="F102" s="40" t="n"/>
      <c r="G102" s="41" t="n"/>
      <c r="H102" s="42" t="n"/>
      <c r="I102" s="41" t="n"/>
      <c r="J102" s="43" t="n"/>
      <c r="K102" s="44">
        <f>IF($A102="","",IF(INDEX(Takeoff_In!$D$2:$D$300,MATCH($A102,Takeoff_In!$A$2:$A$300,0))="",NA(),INDEX(Takeoff_In!$D$2:$D$300,MATCH($A102,Takeoff_In!$A$2:$A$300,0))))</f>
        <v/>
      </c>
      <c r="L102" s="44">
        <f>IF($A102="","",IF(INDEX(Takeoff_In!$E$2:$E$300,MATCH($A102,Takeoff_In!$A$2:$A$300,0))="",NA(),INDEX(Takeoff_In!$E$2:$E$300,MATCH($A102,Takeoff_In!$A$2:$A$300,0))))</f>
        <v/>
      </c>
      <c r="M102" s="45">
        <f>IF($A102="","",IF(ISNUMBER($J102),IF($E102="CU YD",ROUNDUP(K102*(1+$J102),1),ROUNDUP(K102*(1+$J102),0)),NA()))</f>
        <v/>
      </c>
      <c r="N102" s="45">
        <f>IF($A102="","",IF(ISNUMBER($J102),IF($E102="CU YD",ROUNDUP(L102*(1+$J102),1),ROUNDUP(L102*(1+$J102),0)),NA()))</f>
        <v/>
      </c>
      <c r="O102" s="46">
        <f>IF($A102="","",IF(ISNUMBER($F102),M102*$F102,NA()))</f>
        <v/>
      </c>
      <c r="P102" s="46">
        <f>IF($A102="","",IF(ISNUMBER($F102),N102*$F102,NA()))</f>
        <v/>
      </c>
      <c r="Q102" s="37" t="n"/>
    </row>
    <row r="103" ht="15" customHeight="1" s="26">
      <c r="A103" s="37" t="n"/>
      <c r="B103" s="37" t="n"/>
      <c r="C103" s="37" t="n"/>
      <c r="D103" s="37" t="n"/>
      <c r="E103" s="37" t="n"/>
      <c r="F103" s="40" t="n"/>
      <c r="G103" s="41" t="n"/>
      <c r="H103" s="42" t="n"/>
      <c r="I103" s="41" t="n"/>
      <c r="J103" s="43" t="n"/>
      <c r="K103" s="44">
        <f>IF($A103="","",IF(INDEX(Takeoff_In!$D$2:$D$300,MATCH($A103,Takeoff_In!$A$2:$A$300,0))="",NA(),INDEX(Takeoff_In!$D$2:$D$300,MATCH($A103,Takeoff_In!$A$2:$A$300,0))))</f>
        <v/>
      </c>
      <c r="L103" s="44">
        <f>IF($A103="","",IF(INDEX(Takeoff_In!$E$2:$E$300,MATCH($A103,Takeoff_In!$A$2:$A$300,0))="",NA(),INDEX(Takeoff_In!$E$2:$E$300,MATCH($A103,Takeoff_In!$A$2:$A$300,0))))</f>
        <v/>
      </c>
      <c r="M103" s="45">
        <f>IF($A103="","",IF(ISNUMBER($J103),IF($E103="CU YD",ROUNDUP(K103*(1+$J103),1),ROUNDUP(K103*(1+$J103),0)),NA()))</f>
        <v/>
      </c>
      <c r="N103" s="45">
        <f>IF($A103="","",IF(ISNUMBER($J103),IF($E103="CU YD",ROUNDUP(L103*(1+$J103),1),ROUNDUP(L103*(1+$J103),0)),NA()))</f>
        <v/>
      </c>
      <c r="O103" s="46">
        <f>IF($A103="","",IF(ISNUMBER($F103),M103*$F103,NA()))</f>
        <v/>
      </c>
      <c r="P103" s="46">
        <f>IF($A103="","",IF(ISNUMBER($F103),N103*$F103,NA()))</f>
        <v/>
      </c>
      <c r="Q103" s="37" t="n"/>
    </row>
    <row r="104" ht="15" customHeight="1" s="26">
      <c r="A104" s="37" t="n"/>
      <c r="B104" s="37" t="n"/>
      <c r="C104" s="37" t="n"/>
      <c r="D104" s="37" t="n"/>
      <c r="E104" s="37" t="n"/>
      <c r="F104" s="40" t="n"/>
      <c r="G104" s="41" t="n"/>
      <c r="H104" s="42" t="n"/>
      <c r="I104" s="41" t="n"/>
      <c r="J104" s="43" t="n"/>
      <c r="K104" s="44">
        <f>IF($A104="","",IF(INDEX(Takeoff_In!$D$2:$D$300,MATCH($A104,Takeoff_In!$A$2:$A$300,0))="",NA(),INDEX(Takeoff_In!$D$2:$D$300,MATCH($A104,Takeoff_In!$A$2:$A$300,0))))</f>
        <v/>
      </c>
      <c r="L104" s="44">
        <f>IF($A104="","",IF(INDEX(Takeoff_In!$E$2:$E$300,MATCH($A104,Takeoff_In!$A$2:$A$300,0))="",NA(),INDEX(Takeoff_In!$E$2:$E$300,MATCH($A104,Takeoff_In!$A$2:$A$300,0))))</f>
        <v/>
      </c>
      <c r="M104" s="45">
        <f>IF($A104="","",IF(ISNUMBER($J104),IF($E104="CU YD",ROUNDUP(K104*(1+$J104),1),ROUNDUP(K104*(1+$J104),0)),NA()))</f>
        <v/>
      </c>
      <c r="N104" s="45">
        <f>IF($A104="","",IF(ISNUMBER($J104),IF($E104="CU YD",ROUNDUP(L104*(1+$J104),1),ROUNDUP(L104*(1+$J104),0)),NA()))</f>
        <v/>
      </c>
      <c r="O104" s="46">
        <f>IF($A104="","",IF(ISNUMBER($F104),M104*$F104,NA()))</f>
        <v/>
      </c>
      <c r="P104" s="46">
        <f>IF($A104="","",IF(ISNUMBER($F104),N104*$F104,NA()))</f>
        <v/>
      </c>
      <c r="Q104" s="37" t="n"/>
    </row>
    <row r="105" ht="15" customHeight="1" s="26">
      <c r="A105" s="37" t="n"/>
      <c r="B105" s="37" t="n"/>
      <c r="C105" s="37" t="n"/>
      <c r="D105" s="37" t="n"/>
      <c r="E105" s="37" t="n"/>
      <c r="F105" s="40" t="n"/>
      <c r="G105" s="41" t="n"/>
      <c r="H105" s="42" t="n"/>
      <c r="I105" s="41" t="n"/>
      <c r="J105" s="43" t="n"/>
      <c r="K105" s="44">
        <f>IF($A105="","",IF(INDEX(Takeoff_In!$D$2:$D$300,MATCH($A105,Takeoff_In!$A$2:$A$300,0))="",NA(),INDEX(Takeoff_In!$D$2:$D$300,MATCH($A105,Takeoff_In!$A$2:$A$300,0))))</f>
        <v/>
      </c>
      <c r="L105" s="44">
        <f>IF($A105="","",IF(INDEX(Takeoff_In!$E$2:$E$300,MATCH($A105,Takeoff_In!$A$2:$A$300,0))="",NA(),INDEX(Takeoff_In!$E$2:$E$300,MATCH($A105,Takeoff_In!$A$2:$A$300,0))))</f>
        <v/>
      </c>
      <c r="M105" s="45">
        <f>IF($A105="","",IF(ISNUMBER($J105),IF($E105="CU YD",ROUNDUP(K105*(1+$J105),1),ROUNDUP(K105*(1+$J105),0)),NA()))</f>
        <v/>
      </c>
      <c r="N105" s="45">
        <f>IF($A105="","",IF(ISNUMBER($J105),IF($E105="CU YD",ROUNDUP(L105*(1+$J105),1),ROUNDUP(L105*(1+$J105),0)),NA()))</f>
        <v/>
      </c>
      <c r="O105" s="46">
        <f>IF($A105="","",IF(ISNUMBER($F105),M105*$F105,NA()))</f>
        <v/>
      </c>
      <c r="P105" s="46">
        <f>IF($A105="","",IF(ISNUMBER($F105),N105*$F105,NA()))</f>
        <v/>
      </c>
      <c r="Q105" s="37" t="n"/>
    </row>
    <row r="106" ht="15" customHeight="1" s="26">
      <c r="A106" s="37" t="n"/>
      <c r="B106" s="37" t="n"/>
      <c r="C106" s="37" t="n"/>
      <c r="D106" s="37" t="n"/>
      <c r="E106" s="37" t="n"/>
      <c r="F106" s="40" t="n"/>
      <c r="G106" s="41" t="n"/>
      <c r="H106" s="42" t="n"/>
      <c r="I106" s="41" t="n"/>
      <c r="J106" s="43" t="n"/>
      <c r="K106" s="44">
        <f>IF($A106="","",IF(INDEX(Takeoff_In!$D$2:$D$300,MATCH($A106,Takeoff_In!$A$2:$A$300,0))="",NA(),INDEX(Takeoff_In!$D$2:$D$300,MATCH($A106,Takeoff_In!$A$2:$A$300,0))))</f>
        <v/>
      </c>
      <c r="L106" s="44">
        <f>IF($A106="","",IF(INDEX(Takeoff_In!$E$2:$E$300,MATCH($A106,Takeoff_In!$A$2:$A$300,0))="",NA(),INDEX(Takeoff_In!$E$2:$E$300,MATCH($A106,Takeoff_In!$A$2:$A$300,0))))</f>
        <v/>
      </c>
      <c r="M106" s="45">
        <f>IF($A106="","",IF(ISNUMBER($J106),IF($E106="CU YD",ROUNDUP(K106*(1+$J106),1),ROUNDUP(K106*(1+$J106),0)),NA()))</f>
        <v/>
      </c>
      <c r="N106" s="45">
        <f>IF($A106="","",IF(ISNUMBER($J106),IF($E106="CU YD",ROUNDUP(L106*(1+$J106),1),ROUNDUP(L106*(1+$J106),0)),NA()))</f>
        <v/>
      </c>
      <c r="O106" s="46">
        <f>IF($A106="","",IF(ISNUMBER($F106),M106*$F106,NA()))</f>
        <v/>
      </c>
      <c r="P106" s="46">
        <f>IF($A106="","",IF(ISNUMBER($F106),N106*$F106,NA()))</f>
        <v/>
      </c>
      <c r="Q106" s="37" t="n"/>
    </row>
    <row r="107" ht="15" customHeight="1" s="26">
      <c r="A107" s="37" t="n"/>
      <c r="B107" s="37" t="n"/>
      <c r="C107" s="37" t="n"/>
      <c r="D107" s="37" t="n"/>
      <c r="E107" s="37" t="n"/>
      <c r="F107" s="40" t="n"/>
      <c r="G107" s="41" t="n"/>
      <c r="H107" s="42" t="n"/>
      <c r="I107" s="41" t="n"/>
      <c r="J107" s="43" t="n"/>
      <c r="K107" s="44">
        <f>IF($A107="","",IF(INDEX(Takeoff_In!$D$2:$D$300,MATCH($A107,Takeoff_In!$A$2:$A$300,0))="",NA(),INDEX(Takeoff_In!$D$2:$D$300,MATCH($A107,Takeoff_In!$A$2:$A$300,0))))</f>
        <v/>
      </c>
      <c r="L107" s="44">
        <f>IF($A107="","",IF(INDEX(Takeoff_In!$E$2:$E$300,MATCH($A107,Takeoff_In!$A$2:$A$300,0))="",NA(),INDEX(Takeoff_In!$E$2:$E$300,MATCH($A107,Takeoff_In!$A$2:$A$300,0))))</f>
        <v/>
      </c>
      <c r="M107" s="45">
        <f>IF($A107="","",IF(ISNUMBER($J107),IF($E107="CU YD",ROUNDUP(K107*(1+$J107),1),ROUNDUP(K107*(1+$J107),0)),NA()))</f>
        <v/>
      </c>
      <c r="N107" s="45">
        <f>IF($A107="","",IF(ISNUMBER($J107),IF($E107="CU YD",ROUNDUP(L107*(1+$J107),1),ROUNDUP(L107*(1+$J107),0)),NA()))</f>
        <v/>
      </c>
      <c r="O107" s="46">
        <f>IF($A107="","",IF(ISNUMBER($F107),M107*$F107,NA()))</f>
        <v/>
      </c>
      <c r="P107" s="46">
        <f>IF($A107="","",IF(ISNUMBER($F107),N107*$F107,NA()))</f>
        <v/>
      </c>
      <c r="Q107" s="37" t="n"/>
    </row>
    <row r="108" ht="15" customHeight="1" s="26">
      <c r="A108" s="37" t="n"/>
      <c r="B108" s="37" t="n"/>
      <c r="C108" s="37" t="n"/>
      <c r="D108" s="37" t="n"/>
      <c r="E108" s="37" t="n"/>
      <c r="F108" s="40" t="n"/>
      <c r="G108" s="41" t="n"/>
      <c r="H108" s="42" t="n"/>
      <c r="I108" s="41" t="n"/>
      <c r="J108" s="43" t="n"/>
      <c r="K108" s="44">
        <f>IF($A108="","",IF(INDEX(Takeoff_In!$D$2:$D$300,MATCH($A108,Takeoff_In!$A$2:$A$300,0))="",NA(),INDEX(Takeoff_In!$D$2:$D$300,MATCH($A108,Takeoff_In!$A$2:$A$300,0))))</f>
        <v/>
      </c>
      <c r="L108" s="44">
        <f>IF($A108="","",IF(INDEX(Takeoff_In!$E$2:$E$300,MATCH($A108,Takeoff_In!$A$2:$A$300,0))="",NA(),INDEX(Takeoff_In!$E$2:$E$300,MATCH($A108,Takeoff_In!$A$2:$A$300,0))))</f>
        <v/>
      </c>
      <c r="M108" s="45">
        <f>IF($A108="","",IF(ISNUMBER($J108),IF($E108="CU YD",ROUNDUP(K108*(1+$J108),1),ROUNDUP(K108*(1+$J108),0)),NA()))</f>
        <v/>
      </c>
      <c r="N108" s="45">
        <f>IF($A108="","",IF(ISNUMBER($J108),IF($E108="CU YD",ROUNDUP(L108*(1+$J108),1),ROUNDUP(L108*(1+$J108),0)),NA()))</f>
        <v/>
      </c>
      <c r="O108" s="46">
        <f>IF($A108="","",IF(ISNUMBER($F108),M108*$F108,NA()))</f>
        <v/>
      </c>
      <c r="P108" s="46">
        <f>IF($A108="","",IF(ISNUMBER($F108),N108*$F108,NA()))</f>
        <v/>
      </c>
      <c r="Q108" s="37" t="n"/>
    </row>
    <row r="109" ht="15" customHeight="1" s="26">
      <c r="A109" s="37" t="n"/>
      <c r="B109" s="37" t="n"/>
      <c r="C109" s="37" t="n"/>
      <c r="D109" s="37" t="n"/>
      <c r="E109" s="37" t="n"/>
      <c r="F109" s="40" t="n"/>
      <c r="G109" s="41" t="n"/>
      <c r="H109" s="42" t="n"/>
      <c r="I109" s="41" t="n"/>
      <c r="J109" s="43" t="n"/>
      <c r="K109" s="44">
        <f>IF($A109="","",IF(INDEX(Takeoff_In!$D$2:$D$300,MATCH($A109,Takeoff_In!$A$2:$A$300,0))="",NA(),INDEX(Takeoff_In!$D$2:$D$300,MATCH($A109,Takeoff_In!$A$2:$A$300,0))))</f>
        <v/>
      </c>
      <c r="L109" s="44">
        <f>IF($A109="","",IF(INDEX(Takeoff_In!$E$2:$E$300,MATCH($A109,Takeoff_In!$A$2:$A$300,0))="",NA(),INDEX(Takeoff_In!$E$2:$E$300,MATCH($A109,Takeoff_In!$A$2:$A$300,0))))</f>
        <v/>
      </c>
      <c r="M109" s="45">
        <f>IF($A109="","",IF(ISNUMBER($J109),IF($E109="CU YD",ROUNDUP(K109*(1+$J109),1),ROUNDUP(K109*(1+$J109),0)),NA()))</f>
        <v/>
      </c>
      <c r="N109" s="45">
        <f>IF($A109="","",IF(ISNUMBER($J109),IF($E109="CU YD",ROUNDUP(L109*(1+$J109),1),ROUNDUP(L109*(1+$J109),0)),NA()))</f>
        <v/>
      </c>
      <c r="O109" s="46">
        <f>IF($A109="","",IF(ISNUMBER($F109),M109*$F109,NA()))</f>
        <v/>
      </c>
      <c r="P109" s="46">
        <f>IF($A109="","",IF(ISNUMBER($F109),N109*$F109,NA()))</f>
        <v/>
      </c>
      <c r="Q109" s="37" t="n"/>
    </row>
    <row r="110" ht="15" customHeight="1" s="26">
      <c r="A110" s="37" t="n"/>
      <c r="B110" s="37" t="n"/>
      <c r="C110" s="37" t="n"/>
      <c r="D110" s="37" t="n"/>
      <c r="E110" s="37" t="n"/>
      <c r="F110" s="40" t="n"/>
      <c r="G110" s="41" t="n"/>
      <c r="H110" s="42" t="n"/>
      <c r="I110" s="41" t="n"/>
      <c r="J110" s="43" t="n"/>
      <c r="K110" s="44">
        <f>IF($A110="","",IF(INDEX(Takeoff_In!$D$2:$D$300,MATCH($A110,Takeoff_In!$A$2:$A$300,0))="",NA(),INDEX(Takeoff_In!$D$2:$D$300,MATCH($A110,Takeoff_In!$A$2:$A$300,0))))</f>
        <v/>
      </c>
      <c r="L110" s="44">
        <f>IF($A110="","",IF(INDEX(Takeoff_In!$E$2:$E$300,MATCH($A110,Takeoff_In!$A$2:$A$300,0))="",NA(),INDEX(Takeoff_In!$E$2:$E$300,MATCH($A110,Takeoff_In!$A$2:$A$300,0))))</f>
        <v/>
      </c>
      <c r="M110" s="45">
        <f>IF($A110="","",IF(ISNUMBER($J110),IF($E110="CU YD",ROUNDUP(K110*(1+$J110),1),ROUNDUP(K110*(1+$J110),0)),NA()))</f>
        <v/>
      </c>
      <c r="N110" s="45">
        <f>IF($A110="","",IF(ISNUMBER($J110),IF($E110="CU YD",ROUNDUP(L110*(1+$J110),1),ROUNDUP(L110*(1+$J110),0)),NA()))</f>
        <v/>
      </c>
      <c r="O110" s="46">
        <f>IF($A110="","",IF(ISNUMBER($F110),M110*$F110,NA()))</f>
        <v/>
      </c>
      <c r="P110" s="46">
        <f>IF($A110="","",IF(ISNUMBER($F110),N110*$F110,NA()))</f>
        <v/>
      </c>
      <c r="Q110" s="37" t="n"/>
    </row>
    <row r="111" ht="15" customHeight="1" s="26">
      <c r="A111" s="37" t="n"/>
      <c r="B111" s="37" t="n"/>
      <c r="C111" s="37" t="n"/>
      <c r="D111" s="37" t="n"/>
      <c r="E111" s="37" t="n"/>
      <c r="F111" s="40" t="n"/>
      <c r="G111" s="41" t="n"/>
      <c r="H111" s="42" t="n"/>
      <c r="I111" s="41" t="n"/>
      <c r="J111" s="43" t="n"/>
      <c r="K111" s="44">
        <f>IF($A111="","",IF(INDEX(Takeoff_In!$D$2:$D$300,MATCH($A111,Takeoff_In!$A$2:$A$300,0))="",NA(),INDEX(Takeoff_In!$D$2:$D$300,MATCH($A111,Takeoff_In!$A$2:$A$300,0))))</f>
        <v/>
      </c>
      <c r="L111" s="44">
        <f>IF($A111="","",IF(INDEX(Takeoff_In!$E$2:$E$300,MATCH($A111,Takeoff_In!$A$2:$A$300,0))="",NA(),INDEX(Takeoff_In!$E$2:$E$300,MATCH($A111,Takeoff_In!$A$2:$A$300,0))))</f>
        <v/>
      </c>
      <c r="M111" s="45">
        <f>IF($A111="","",IF(ISNUMBER($J111),IF($E111="CU YD",ROUNDUP(K111*(1+$J111),1),ROUNDUP(K111*(1+$J111),0)),NA()))</f>
        <v/>
      </c>
      <c r="N111" s="45">
        <f>IF($A111="","",IF(ISNUMBER($J111),IF($E111="CU YD",ROUNDUP(L111*(1+$J111),1),ROUNDUP(L111*(1+$J111),0)),NA()))</f>
        <v/>
      </c>
      <c r="O111" s="46">
        <f>IF($A111="","",IF(ISNUMBER($F111),M111*$F111,NA()))</f>
        <v/>
      </c>
      <c r="P111" s="46">
        <f>IF($A111="","",IF(ISNUMBER($F111),N111*$F111,NA()))</f>
        <v/>
      </c>
      <c r="Q111" s="37" t="n"/>
    </row>
    <row r="112" ht="15" customHeight="1" s="26">
      <c r="A112" s="37" t="n"/>
      <c r="B112" s="37" t="n"/>
      <c r="C112" s="37" t="n"/>
      <c r="D112" s="37" t="n"/>
      <c r="E112" s="37" t="n"/>
      <c r="F112" s="40" t="n"/>
      <c r="G112" s="41" t="n"/>
      <c r="H112" s="42" t="n"/>
      <c r="I112" s="41" t="n"/>
      <c r="J112" s="43" t="n"/>
      <c r="K112" s="44">
        <f>IF($A112="","",IF(INDEX(Takeoff_In!$D$2:$D$300,MATCH($A112,Takeoff_In!$A$2:$A$300,0))="",NA(),INDEX(Takeoff_In!$D$2:$D$300,MATCH($A112,Takeoff_In!$A$2:$A$300,0))))</f>
        <v/>
      </c>
      <c r="L112" s="44">
        <f>IF($A112="","",IF(INDEX(Takeoff_In!$E$2:$E$300,MATCH($A112,Takeoff_In!$A$2:$A$300,0))="",NA(),INDEX(Takeoff_In!$E$2:$E$300,MATCH($A112,Takeoff_In!$A$2:$A$300,0))))</f>
        <v/>
      </c>
      <c r="M112" s="45">
        <f>IF($A112="","",IF(ISNUMBER($J112),IF($E112="CU YD",ROUNDUP(K112*(1+$J112),1),ROUNDUP(K112*(1+$J112),0)),NA()))</f>
        <v/>
      </c>
      <c r="N112" s="45">
        <f>IF($A112="","",IF(ISNUMBER($J112),IF($E112="CU YD",ROUNDUP(L112*(1+$J112),1),ROUNDUP(L112*(1+$J112),0)),NA()))</f>
        <v/>
      </c>
      <c r="O112" s="46">
        <f>IF($A112="","",IF(ISNUMBER($F112),M112*$F112,NA()))</f>
        <v/>
      </c>
      <c r="P112" s="46">
        <f>IF($A112="","",IF(ISNUMBER($F112),N112*$F112,NA()))</f>
        <v/>
      </c>
      <c r="Q112" s="37" t="n"/>
    </row>
    <row r="113" ht="15" customHeight="1" s="26">
      <c r="A113" s="37" t="n"/>
      <c r="B113" s="37" t="n"/>
      <c r="C113" s="37" t="n"/>
      <c r="D113" s="37" t="n"/>
      <c r="E113" s="37" t="n"/>
      <c r="F113" s="40" t="n"/>
      <c r="G113" s="41" t="n"/>
      <c r="H113" s="42" t="n"/>
      <c r="I113" s="41" t="n"/>
      <c r="J113" s="43" t="n"/>
      <c r="K113" s="44">
        <f>IF($A113="","",IF(INDEX(Takeoff_In!$D$2:$D$300,MATCH($A113,Takeoff_In!$A$2:$A$300,0))="",NA(),INDEX(Takeoff_In!$D$2:$D$300,MATCH($A113,Takeoff_In!$A$2:$A$300,0))))</f>
        <v/>
      </c>
      <c r="L113" s="44">
        <f>IF($A113="","",IF(INDEX(Takeoff_In!$E$2:$E$300,MATCH($A113,Takeoff_In!$A$2:$A$300,0))="",NA(),INDEX(Takeoff_In!$E$2:$E$300,MATCH($A113,Takeoff_In!$A$2:$A$300,0))))</f>
        <v/>
      </c>
      <c r="M113" s="45">
        <f>IF($A113="","",IF(ISNUMBER($J113),IF($E113="CU YD",ROUNDUP(K113*(1+$J113),1),ROUNDUP(K113*(1+$J113),0)),NA()))</f>
        <v/>
      </c>
      <c r="N113" s="45">
        <f>IF($A113="","",IF(ISNUMBER($J113),IF($E113="CU YD",ROUNDUP(L113*(1+$J113),1),ROUNDUP(L113*(1+$J113),0)),NA()))</f>
        <v/>
      </c>
      <c r="O113" s="46">
        <f>IF($A113="","",IF(ISNUMBER($F113),M113*$F113,NA()))</f>
        <v/>
      </c>
      <c r="P113" s="46">
        <f>IF($A113="","",IF(ISNUMBER($F113),N113*$F113,NA()))</f>
        <v/>
      </c>
      <c r="Q113" s="37" t="n"/>
    </row>
    <row r="114" ht="15" customHeight="1" s="26">
      <c r="A114" s="37" t="n"/>
      <c r="B114" s="37" t="n"/>
      <c r="C114" s="37" t="n"/>
      <c r="D114" s="37" t="n"/>
      <c r="E114" s="37" t="n"/>
      <c r="F114" s="40" t="n"/>
      <c r="G114" s="41" t="n"/>
      <c r="H114" s="42" t="n"/>
      <c r="I114" s="41" t="n"/>
      <c r="J114" s="43" t="n"/>
      <c r="K114" s="44">
        <f>IF($A114="","",IF(INDEX(Takeoff_In!$D$2:$D$300,MATCH($A114,Takeoff_In!$A$2:$A$300,0))="",NA(),INDEX(Takeoff_In!$D$2:$D$300,MATCH($A114,Takeoff_In!$A$2:$A$300,0))))</f>
        <v/>
      </c>
      <c r="L114" s="44">
        <f>IF($A114="","",IF(INDEX(Takeoff_In!$E$2:$E$300,MATCH($A114,Takeoff_In!$A$2:$A$300,0))="",NA(),INDEX(Takeoff_In!$E$2:$E$300,MATCH($A114,Takeoff_In!$A$2:$A$300,0))))</f>
        <v/>
      </c>
      <c r="M114" s="45">
        <f>IF($A114="","",IF(ISNUMBER($J114),IF($E114="CU YD",ROUNDUP(K114*(1+$J114),1),ROUNDUP(K114*(1+$J114),0)),NA()))</f>
        <v/>
      </c>
      <c r="N114" s="45">
        <f>IF($A114="","",IF(ISNUMBER($J114),IF($E114="CU YD",ROUNDUP(L114*(1+$J114),1),ROUNDUP(L114*(1+$J114),0)),NA()))</f>
        <v/>
      </c>
      <c r="O114" s="46">
        <f>IF($A114="","",IF(ISNUMBER($F114),M114*$F114,NA()))</f>
        <v/>
      </c>
      <c r="P114" s="46">
        <f>IF($A114="","",IF(ISNUMBER($F114),N114*$F114,NA()))</f>
        <v/>
      </c>
      <c r="Q114" s="37" t="n"/>
    </row>
    <row r="115" ht="15" customHeight="1" s="26">
      <c r="A115" s="37" t="n"/>
      <c r="B115" s="37" t="n"/>
      <c r="C115" s="37" t="n"/>
      <c r="D115" s="37" t="n"/>
      <c r="E115" s="37" t="n"/>
      <c r="F115" s="40" t="n"/>
      <c r="G115" s="41" t="n"/>
      <c r="H115" s="42" t="n"/>
      <c r="I115" s="41" t="n"/>
      <c r="J115" s="43" t="n"/>
      <c r="K115" s="44">
        <f>IF($A115="","",IF(INDEX(Takeoff_In!$D$2:$D$300,MATCH($A115,Takeoff_In!$A$2:$A$300,0))="",NA(),INDEX(Takeoff_In!$D$2:$D$300,MATCH($A115,Takeoff_In!$A$2:$A$300,0))))</f>
        <v/>
      </c>
      <c r="L115" s="44">
        <f>IF($A115="","",IF(INDEX(Takeoff_In!$E$2:$E$300,MATCH($A115,Takeoff_In!$A$2:$A$300,0))="",NA(),INDEX(Takeoff_In!$E$2:$E$300,MATCH($A115,Takeoff_In!$A$2:$A$300,0))))</f>
        <v/>
      </c>
      <c r="M115" s="45">
        <f>IF($A115="","",IF(ISNUMBER($J115),IF($E115="CU YD",ROUNDUP(K115*(1+$J115),1),ROUNDUP(K115*(1+$J115),0)),NA()))</f>
        <v/>
      </c>
      <c r="N115" s="45">
        <f>IF($A115="","",IF(ISNUMBER($J115),IF($E115="CU YD",ROUNDUP(L115*(1+$J115),1),ROUNDUP(L115*(1+$J115),0)),NA()))</f>
        <v/>
      </c>
      <c r="O115" s="46">
        <f>IF($A115="","",IF(ISNUMBER($F115),M115*$F115,NA()))</f>
        <v/>
      </c>
      <c r="P115" s="46">
        <f>IF($A115="","",IF(ISNUMBER($F115),N115*$F115,NA()))</f>
        <v/>
      </c>
      <c r="Q115" s="37" t="n"/>
    </row>
    <row r="116" ht="15" customHeight="1" s="26">
      <c r="A116" s="37" t="n"/>
      <c r="B116" s="37" t="n"/>
      <c r="C116" s="37" t="n"/>
      <c r="D116" s="37" t="n"/>
      <c r="E116" s="37" t="n"/>
      <c r="F116" s="40" t="n"/>
      <c r="G116" s="41" t="n"/>
      <c r="H116" s="42" t="n"/>
      <c r="I116" s="41" t="n"/>
      <c r="J116" s="43" t="n"/>
      <c r="K116" s="44">
        <f>IF($A116="","",IF(INDEX(Takeoff_In!$D$2:$D$300,MATCH($A116,Takeoff_In!$A$2:$A$300,0))="",NA(),INDEX(Takeoff_In!$D$2:$D$300,MATCH($A116,Takeoff_In!$A$2:$A$300,0))))</f>
        <v/>
      </c>
      <c r="L116" s="44">
        <f>IF($A116="","",IF(INDEX(Takeoff_In!$E$2:$E$300,MATCH($A116,Takeoff_In!$A$2:$A$300,0))="",NA(),INDEX(Takeoff_In!$E$2:$E$300,MATCH($A116,Takeoff_In!$A$2:$A$300,0))))</f>
        <v/>
      </c>
      <c r="M116" s="45">
        <f>IF($A116="","",IF(ISNUMBER($J116),IF($E116="CU YD",ROUNDUP(K116*(1+$J116),1),ROUNDUP(K116*(1+$J116),0)),NA()))</f>
        <v/>
      </c>
      <c r="N116" s="45">
        <f>IF($A116="","",IF(ISNUMBER($J116),IF($E116="CU YD",ROUNDUP(L116*(1+$J116),1),ROUNDUP(L116*(1+$J116),0)),NA()))</f>
        <v/>
      </c>
      <c r="O116" s="46">
        <f>IF($A116="","",IF(ISNUMBER($F116),M116*$F116,NA()))</f>
        <v/>
      </c>
      <c r="P116" s="46">
        <f>IF($A116="","",IF(ISNUMBER($F116),N116*$F116,NA()))</f>
        <v/>
      </c>
      <c r="Q116" s="37" t="n"/>
    </row>
    <row r="117" ht="15" customHeight="1" s="26">
      <c r="A117" s="37" t="n"/>
      <c r="B117" s="37" t="n"/>
      <c r="C117" s="37" t="n"/>
      <c r="D117" s="37" t="n"/>
      <c r="E117" s="37" t="n"/>
      <c r="F117" s="40" t="n"/>
      <c r="G117" s="41" t="n"/>
      <c r="H117" s="42" t="n"/>
      <c r="I117" s="41" t="n"/>
      <c r="J117" s="43" t="n"/>
      <c r="K117" s="44">
        <f>IF($A117="","",IF(INDEX(Takeoff_In!$D$2:$D$300,MATCH($A117,Takeoff_In!$A$2:$A$300,0))="",NA(),INDEX(Takeoff_In!$D$2:$D$300,MATCH($A117,Takeoff_In!$A$2:$A$300,0))))</f>
        <v/>
      </c>
      <c r="L117" s="44">
        <f>IF($A117="","",IF(INDEX(Takeoff_In!$E$2:$E$300,MATCH($A117,Takeoff_In!$A$2:$A$300,0))="",NA(),INDEX(Takeoff_In!$E$2:$E$300,MATCH($A117,Takeoff_In!$A$2:$A$300,0))))</f>
        <v/>
      </c>
      <c r="M117" s="45">
        <f>IF($A117="","",IF(ISNUMBER($J117),IF($E117="CU YD",ROUNDUP(K117*(1+$J117),1),ROUNDUP(K117*(1+$J117),0)),NA()))</f>
        <v/>
      </c>
      <c r="N117" s="45">
        <f>IF($A117="","",IF(ISNUMBER($J117),IF($E117="CU YD",ROUNDUP(L117*(1+$J117),1),ROUNDUP(L117*(1+$J117),0)),NA()))</f>
        <v/>
      </c>
      <c r="O117" s="46">
        <f>IF($A117="","",IF(ISNUMBER($F117),M117*$F117,NA()))</f>
        <v/>
      </c>
      <c r="P117" s="46">
        <f>IF($A117="","",IF(ISNUMBER($F117),N117*$F117,NA()))</f>
        <v/>
      </c>
      <c r="Q117" s="37" t="n"/>
    </row>
    <row r="118" ht="15" customHeight="1" s="26">
      <c r="A118" s="37" t="n"/>
      <c r="B118" s="37" t="n"/>
      <c r="C118" s="37" t="n"/>
      <c r="D118" s="37" t="n"/>
      <c r="E118" s="37" t="n"/>
      <c r="F118" s="40" t="n"/>
      <c r="G118" s="41" t="n"/>
      <c r="H118" s="42" t="n"/>
      <c r="I118" s="41" t="n"/>
      <c r="J118" s="43" t="n"/>
      <c r="K118" s="44">
        <f>IF($A118="","",IF(INDEX(Takeoff_In!$D$2:$D$300,MATCH($A118,Takeoff_In!$A$2:$A$300,0))="",NA(),INDEX(Takeoff_In!$D$2:$D$300,MATCH($A118,Takeoff_In!$A$2:$A$300,0))))</f>
        <v/>
      </c>
      <c r="L118" s="44">
        <f>IF($A118="","",IF(INDEX(Takeoff_In!$E$2:$E$300,MATCH($A118,Takeoff_In!$A$2:$A$300,0))="",NA(),INDEX(Takeoff_In!$E$2:$E$300,MATCH($A118,Takeoff_In!$A$2:$A$300,0))))</f>
        <v/>
      </c>
      <c r="M118" s="45">
        <f>IF($A118="","",IF(ISNUMBER($J118),IF($E118="CU YD",ROUNDUP(K118*(1+$J118),1),ROUNDUP(K118*(1+$J118),0)),NA()))</f>
        <v/>
      </c>
      <c r="N118" s="45">
        <f>IF($A118="","",IF(ISNUMBER($J118),IF($E118="CU YD",ROUNDUP(L118*(1+$J118),1),ROUNDUP(L118*(1+$J118),0)),NA()))</f>
        <v/>
      </c>
      <c r="O118" s="46">
        <f>IF($A118="","",IF(ISNUMBER($F118),M118*$F118,NA()))</f>
        <v/>
      </c>
      <c r="P118" s="46">
        <f>IF($A118="","",IF(ISNUMBER($F118),N118*$F118,NA()))</f>
        <v/>
      </c>
      <c r="Q118" s="37" t="n"/>
    </row>
    <row r="119" ht="15" customHeight="1" s="26">
      <c r="A119" s="37" t="n"/>
      <c r="B119" s="37" t="n"/>
      <c r="C119" s="37" t="n"/>
      <c r="D119" s="37" t="n"/>
      <c r="E119" s="37" t="n"/>
      <c r="F119" s="40" t="n"/>
      <c r="G119" s="41" t="n"/>
      <c r="H119" s="42" t="n"/>
      <c r="I119" s="41" t="n"/>
      <c r="J119" s="43" t="n"/>
      <c r="K119" s="44">
        <f>IF($A119="","",IF(INDEX(Takeoff_In!$D$2:$D$300,MATCH($A119,Takeoff_In!$A$2:$A$300,0))="",NA(),INDEX(Takeoff_In!$D$2:$D$300,MATCH($A119,Takeoff_In!$A$2:$A$300,0))))</f>
        <v/>
      </c>
      <c r="L119" s="44">
        <f>IF($A119="","",IF(INDEX(Takeoff_In!$E$2:$E$300,MATCH($A119,Takeoff_In!$A$2:$A$300,0))="",NA(),INDEX(Takeoff_In!$E$2:$E$300,MATCH($A119,Takeoff_In!$A$2:$A$300,0))))</f>
        <v/>
      </c>
      <c r="M119" s="45">
        <f>IF($A119="","",IF(ISNUMBER($J119),IF($E119="CU YD",ROUNDUP(K119*(1+$J119),1),ROUNDUP(K119*(1+$J119),0)),NA()))</f>
        <v/>
      </c>
      <c r="N119" s="45">
        <f>IF($A119="","",IF(ISNUMBER($J119),IF($E119="CU YD",ROUNDUP(L119*(1+$J119),1),ROUNDUP(L119*(1+$J119),0)),NA()))</f>
        <v/>
      </c>
      <c r="O119" s="46">
        <f>IF($A119="","",IF(ISNUMBER($F119),M119*$F119,NA()))</f>
        <v/>
      </c>
      <c r="P119" s="46">
        <f>IF($A119="","",IF(ISNUMBER($F119),N119*$F119,NA()))</f>
        <v/>
      </c>
      <c r="Q119" s="37" t="n"/>
    </row>
    <row r="120" ht="15" customHeight="1" s="26">
      <c r="A120" s="37" t="n"/>
      <c r="B120" s="37" t="n"/>
      <c r="C120" s="37" t="n"/>
      <c r="D120" s="37" t="n"/>
      <c r="E120" s="37" t="n"/>
      <c r="F120" s="40" t="n"/>
      <c r="G120" s="41" t="n"/>
      <c r="H120" s="42" t="n"/>
      <c r="I120" s="41" t="n"/>
      <c r="J120" s="43" t="n"/>
      <c r="K120" s="44">
        <f>IF($A120="","",IF(INDEX(Takeoff_In!$D$2:$D$300,MATCH($A120,Takeoff_In!$A$2:$A$300,0))="",NA(),INDEX(Takeoff_In!$D$2:$D$300,MATCH($A120,Takeoff_In!$A$2:$A$300,0))))</f>
        <v/>
      </c>
      <c r="L120" s="44">
        <f>IF($A120="","",IF(INDEX(Takeoff_In!$E$2:$E$300,MATCH($A120,Takeoff_In!$A$2:$A$300,0))="",NA(),INDEX(Takeoff_In!$E$2:$E$300,MATCH($A120,Takeoff_In!$A$2:$A$300,0))))</f>
        <v/>
      </c>
      <c r="M120" s="45">
        <f>IF($A120="","",IF(ISNUMBER($J120),IF($E120="CU YD",ROUNDUP(K120*(1+$J120),1),ROUNDUP(K120*(1+$J120),0)),NA()))</f>
        <v/>
      </c>
      <c r="N120" s="45">
        <f>IF($A120="","",IF(ISNUMBER($J120),IF($E120="CU YD",ROUNDUP(L120*(1+$J120),1),ROUNDUP(L120*(1+$J120),0)),NA()))</f>
        <v/>
      </c>
      <c r="O120" s="46">
        <f>IF($A120="","",IF(ISNUMBER($F120),M120*$F120,NA()))</f>
        <v/>
      </c>
      <c r="P120" s="46">
        <f>IF($A120="","",IF(ISNUMBER($F120),N120*$F120,NA()))</f>
        <v/>
      </c>
      <c r="Q120" s="37" t="n"/>
    </row>
    <row r="121" ht="15" customHeight="1" s="26">
      <c r="A121" s="37" t="n"/>
      <c r="B121" s="37" t="n"/>
      <c r="C121" s="37" t="n"/>
      <c r="D121" s="37" t="n"/>
      <c r="E121" s="37" t="n"/>
      <c r="F121" s="40" t="n"/>
      <c r="G121" s="41" t="n"/>
      <c r="H121" s="42" t="n"/>
      <c r="I121" s="41" t="n"/>
      <c r="J121" s="43" t="n"/>
      <c r="K121" s="44">
        <f>IF($A121="","",IF(INDEX(Takeoff_In!$D$2:$D$300,MATCH($A121,Takeoff_In!$A$2:$A$300,0))="",NA(),INDEX(Takeoff_In!$D$2:$D$300,MATCH($A121,Takeoff_In!$A$2:$A$300,0))))</f>
        <v/>
      </c>
      <c r="L121" s="44">
        <f>IF($A121="","",IF(INDEX(Takeoff_In!$E$2:$E$300,MATCH($A121,Takeoff_In!$A$2:$A$300,0))="",NA(),INDEX(Takeoff_In!$E$2:$E$300,MATCH($A121,Takeoff_In!$A$2:$A$300,0))))</f>
        <v/>
      </c>
      <c r="M121" s="45">
        <f>IF($A121="","",IF(ISNUMBER($J121),IF($E121="CU YD",ROUNDUP(K121*(1+$J121),1),ROUNDUP(K121*(1+$J121),0)),NA()))</f>
        <v/>
      </c>
      <c r="N121" s="45">
        <f>IF($A121="","",IF(ISNUMBER($J121),IF($E121="CU YD",ROUNDUP(L121*(1+$J121),1),ROUNDUP(L121*(1+$J121),0)),NA()))</f>
        <v/>
      </c>
      <c r="O121" s="46">
        <f>IF($A121="","",IF(ISNUMBER($F121),M121*$F121,NA()))</f>
        <v/>
      </c>
      <c r="P121" s="46">
        <f>IF($A121="","",IF(ISNUMBER($F121),N121*$F121,NA()))</f>
        <v/>
      </c>
      <c r="Q121" s="37" t="n"/>
    </row>
    <row r="122" ht="15" customHeight="1" s="26">
      <c r="A122" s="37" t="n"/>
      <c r="B122" s="37" t="n"/>
      <c r="C122" s="37" t="n"/>
      <c r="D122" s="37" t="n"/>
      <c r="E122" s="37" t="n"/>
      <c r="F122" s="40" t="n"/>
      <c r="G122" s="41" t="n"/>
      <c r="H122" s="42" t="n"/>
      <c r="I122" s="41" t="n"/>
      <c r="J122" s="43" t="n"/>
      <c r="K122" s="44">
        <f>IF($A122="","",IF(INDEX(Takeoff_In!$D$2:$D$300,MATCH($A122,Takeoff_In!$A$2:$A$300,0))="",NA(),INDEX(Takeoff_In!$D$2:$D$300,MATCH($A122,Takeoff_In!$A$2:$A$300,0))))</f>
        <v/>
      </c>
      <c r="L122" s="44">
        <f>IF($A122="","",IF(INDEX(Takeoff_In!$E$2:$E$300,MATCH($A122,Takeoff_In!$A$2:$A$300,0))="",NA(),INDEX(Takeoff_In!$E$2:$E$300,MATCH($A122,Takeoff_In!$A$2:$A$300,0))))</f>
        <v/>
      </c>
      <c r="M122" s="45">
        <f>IF($A122="","",IF(ISNUMBER($J122),IF($E122="CU YD",ROUNDUP(K122*(1+$J122),1),ROUNDUP(K122*(1+$J122),0)),NA()))</f>
        <v/>
      </c>
      <c r="N122" s="45">
        <f>IF($A122="","",IF(ISNUMBER($J122),IF($E122="CU YD",ROUNDUP(L122*(1+$J122),1),ROUNDUP(L122*(1+$J122),0)),NA()))</f>
        <v/>
      </c>
      <c r="O122" s="46">
        <f>IF($A122="","",IF(ISNUMBER($F122),M122*$F122,NA()))</f>
        <v/>
      </c>
      <c r="P122" s="46">
        <f>IF($A122="","",IF(ISNUMBER($F122),N122*$F122,NA()))</f>
        <v/>
      </c>
      <c r="Q122" s="37" t="n"/>
    </row>
    <row r="123" ht="15" customHeight="1" s="26">
      <c r="A123" s="37" t="n"/>
      <c r="B123" s="37" t="n"/>
      <c r="C123" s="37" t="n"/>
      <c r="D123" s="37" t="n"/>
      <c r="E123" s="37" t="n"/>
      <c r="F123" s="40" t="n"/>
      <c r="G123" s="41" t="n"/>
      <c r="H123" s="42" t="n"/>
      <c r="I123" s="41" t="n"/>
      <c r="J123" s="43" t="n"/>
      <c r="K123" s="44">
        <f>IF($A123="","",IF(INDEX(Takeoff_In!$D$2:$D$300,MATCH($A123,Takeoff_In!$A$2:$A$300,0))="",NA(),INDEX(Takeoff_In!$D$2:$D$300,MATCH($A123,Takeoff_In!$A$2:$A$300,0))))</f>
        <v/>
      </c>
      <c r="L123" s="44">
        <f>IF($A123="","",IF(INDEX(Takeoff_In!$E$2:$E$300,MATCH($A123,Takeoff_In!$A$2:$A$300,0))="",NA(),INDEX(Takeoff_In!$E$2:$E$300,MATCH($A123,Takeoff_In!$A$2:$A$300,0))))</f>
        <v/>
      </c>
      <c r="M123" s="45">
        <f>IF($A123="","",IF(ISNUMBER($J123),IF($E123="CU YD",ROUNDUP(K123*(1+$J123),1),ROUNDUP(K123*(1+$J123),0)),NA()))</f>
        <v/>
      </c>
      <c r="N123" s="45">
        <f>IF($A123="","",IF(ISNUMBER($J123),IF($E123="CU YD",ROUNDUP(L123*(1+$J123),1),ROUNDUP(L123*(1+$J123),0)),NA()))</f>
        <v/>
      </c>
      <c r="O123" s="46">
        <f>IF($A123="","",IF(ISNUMBER($F123),M123*$F123,NA()))</f>
        <v/>
      </c>
      <c r="P123" s="46">
        <f>IF($A123="","",IF(ISNUMBER($F123),N123*$F123,NA()))</f>
        <v/>
      </c>
      <c r="Q123" s="37" t="n"/>
    </row>
    <row r="124" ht="15" customHeight="1" s="26">
      <c r="A124" s="37" t="n"/>
      <c r="B124" s="37" t="n"/>
      <c r="C124" s="37" t="n"/>
      <c r="D124" s="37" t="n"/>
      <c r="E124" s="37" t="n"/>
      <c r="F124" s="40" t="n"/>
      <c r="G124" s="41" t="n"/>
      <c r="H124" s="42" t="n"/>
      <c r="I124" s="41" t="n"/>
      <c r="J124" s="43" t="n"/>
      <c r="K124" s="44">
        <f>IF($A124="","",IF(INDEX(Takeoff_In!$D$2:$D$300,MATCH($A124,Takeoff_In!$A$2:$A$300,0))="",NA(),INDEX(Takeoff_In!$D$2:$D$300,MATCH($A124,Takeoff_In!$A$2:$A$300,0))))</f>
        <v/>
      </c>
      <c r="L124" s="44">
        <f>IF($A124="","",IF(INDEX(Takeoff_In!$E$2:$E$300,MATCH($A124,Takeoff_In!$A$2:$A$300,0))="",NA(),INDEX(Takeoff_In!$E$2:$E$300,MATCH($A124,Takeoff_In!$A$2:$A$300,0))))</f>
        <v/>
      </c>
      <c r="M124" s="45">
        <f>IF($A124="","",IF(ISNUMBER($J124),IF($E124="CU YD",ROUNDUP(K124*(1+$J124),1),ROUNDUP(K124*(1+$J124),0)),NA()))</f>
        <v/>
      </c>
      <c r="N124" s="45">
        <f>IF($A124="","",IF(ISNUMBER($J124),IF($E124="CU YD",ROUNDUP(L124*(1+$J124),1),ROUNDUP(L124*(1+$J124),0)),NA()))</f>
        <v/>
      </c>
      <c r="O124" s="46">
        <f>IF($A124="","",IF(ISNUMBER($F124),M124*$F124,NA()))</f>
        <v/>
      </c>
      <c r="P124" s="46">
        <f>IF($A124="","",IF(ISNUMBER($F124),N124*$F124,NA()))</f>
        <v/>
      </c>
      <c r="Q124" s="37" t="n"/>
    </row>
    <row r="125" ht="15" customHeight="1" s="26">
      <c r="A125" s="37" t="n"/>
      <c r="B125" s="37" t="n"/>
      <c r="C125" s="37" t="n"/>
      <c r="D125" s="37" t="n"/>
      <c r="E125" s="37" t="n"/>
      <c r="F125" s="40" t="n"/>
      <c r="G125" s="41" t="n"/>
      <c r="H125" s="42" t="n"/>
      <c r="I125" s="41" t="n"/>
      <c r="J125" s="43" t="n"/>
      <c r="K125" s="44">
        <f>IF($A125="","",IF(INDEX(Takeoff_In!$D$2:$D$300,MATCH($A125,Takeoff_In!$A$2:$A$300,0))="",NA(),INDEX(Takeoff_In!$D$2:$D$300,MATCH($A125,Takeoff_In!$A$2:$A$300,0))))</f>
        <v/>
      </c>
      <c r="L125" s="44">
        <f>IF($A125="","",IF(INDEX(Takeoff_In!$E$2:$E$300,MATCH($A125,Takeoff_In!$A$2:$A$300,0))="",NA(),INDEX(Takeoff_In!$E$2:$E$300,MATCH($A125,Takeoff_In!$A$2:$A$300,0))))</f>
        <v/>
      </c>
      <c r="M125" s="45">
        <f>IF($A125="","",IF(ISNUMBER($J125),IF($E125="CU YD",ROUNDUP(K125*(1+$J125),1),ROUNDUP(K125*(1+$J125),0)),NA()))</f>
        <v/>
      </c>
      <c r="N125" s="45">
        <f>IF($A125="","",IF(ISNUMBER($J125),IF($E125="CU YD",ROUNDUP(L125*(1+$J125),1),ROUNDUP(L125*(1+$J125),0)),NA()))</f>
        <v/>
      </c>
      <c r="O125" s="46">
        <f>IF($A125="","",IF(ISNUMBER($F125),M125*$F125,NA()))</f>
        <v/>
      </c>
      <c r="P125" s="46">
        <f>IF($A125="","",IF(ISNUMBER($F125),N125*$F125,NA()))</f>
        <v/>
      </c>
      <c r="Q125" s="37" t="n"/>
    </row>
    <row r="126" ht="15" customHeight="1" s="26">
      <c r="A126" s="37" t="n"/>
      <c r="B126" s="37" t="n"/>
      <c r="C126" s="37" t="n"/>
      <c r="D126" s="37" t="n"/>
      <c r="E126" s="37" t="n"/>
      <c r="F126" s="40" t="n"/>
      <c r="G126" s="41" t="n"/>
      <c r="H126" s="42" t="n"/>
      <c r="I126" s="41" t="n"/>
      <c r="J126" s="43" t="n"/>
      <c r="K126" s="44">
        <f>IF($A126="","",IF(INDEX(Takeoff_In!$D$2:$D$300,MATCH($A126,Takeoff_In!$A$2:$A$300,0))="",NA(),INDEX(Takeoff_In!$D$2:$D$300,MATCH($A126,Takeoff_In!$A$2:$A$300,0))))</f>
        <v/>
      </c>
      <c r="L126" s="44">
        <f>IF($A126="","",IF(INDEX(Takeoff_In!$E$2:$E$300,MATCH($A126,Takeoff_In!$A$2:$A$300,0))="",NA(),INDEX(Takeoff_In!$E$2:$E$300,MATCH($A126,Takeoff_In!$A$2:$A$300,0))))</f>
        <v/>
      </c>
      <c r="M126" s="45">
        <f>IF($A126="","",IF(ISNUMBER($J126),IF($E126="CU YD",ROUNDUP(K126*(1+$J126),1),ROUNDUP(K126*(1+$J126),0)),NA()))</f>
        <v/>
      </c>
      <c r="N126" s="45">
        <f>IF($A126="","",IF(ISNUMBER($J126),IF($E126="CU YD",ROUNDUP(L126*(1+$J126),1),ROUNDUP(L126*(1+$J126),0)),NA()))</f>
        <v/>
      </c>
      <c r="O126" s="46">
        <f>IF($A126="","",IF(ISNUMBER($F126),M126*$F126,NA()))</f>
        <v/>
      </c>
      <c r="P126" s="46">
        <f>IF($A126="","",IF(ISNUMBER($F126),N126*$F126,NA()))</f>
        <v/>
      </c>
      <c r="Q126" s="37" t="n"/>
    </row>
    <row r="127" ht="15" customHeight="1" s="26">
      <c r="A127" s="37" t="n"/>
      <c r="B127" s="37" t="n"/>
      <c r="C127" s="37" t="n"/>
      <c r="D127" s="37" t="n"/>
      <c r="E127" s="37" t="n"/>
      <c r="F127" s="40" t="n"/>
      <c r="G127" s="41" t="n"/>
      <c r="H127" s="42" t="n"/>
      <c r="I127" s="41" t="n"/>
      <c r="J127" s="43" t="n"/>
      <c r="K127" s="44">
        <f>IF($A127="","",IF(INDEX(Takeoff_In!$D$2:$D$300,MATCH($A127,Takeoff_In!$A$2:$A$300,0))="",NA(),INDEX(Takeoff_In!$D$2:$D$300,MATCH($A127,Takeoff_In!$A$2:$A$300,0))))</f>
        <v/>
      </c>
      <c r="L127" s="44">
        <f>IF($A127="","",IF(INDEX(Takeoff_In!$E$2:$E$300,MATCH($A127,Takeoff_In!$A$2:$A$300,0))="",NA(),INDEX(Takeoff_In!$E$2:$E$300,MATCH($A127,Takeoff_In!$A$2:$A$300,0))))</f>
        <v/>
      </c>
      <c r="M127" s="45">
        <f>IF($A127="","",IF(ISNUMBER($J127),IF($E127="CU YD",ROUNDUP(K127*(1+$J127),1),ROUNDUP(K127*(1+$J127),0)),NA()))</f>
        <v/>
      </c>
      <c r="N127" s="45">
        <f>IF($A127="","",IF(ISNUMBER($J127),IF($E127="CU YD",ROUNDUP(L127*(1+$J127),1),ROUNDUP(L127*(1+$J127),0)),NA()))</f>
        <v/>
      </c>
      <c r="O127" s="46">
        <f>IF($A127="","",IF(ISNUMBER($F127),M127*$F127,NA()))</f>
        <v/>
      </c>
      <c r="P127" s="46">
        <f>IF($A127="","",IF(ISNUMBER($F127),N127*$F127,NA()))</f>
        <v/>
      </c>
      <c r="Q127" s="37" t="n"/>
    </row>
    <row r="128" ht="15" customHeight="1" s="26">
      <c r="A128" s="37" t="n"/>
      <c r="B128" s="37" t="n"/>
      <c r="C128" s="37" t="n"/>
      <c r="D128" s="37" t="n"/>
      <c r="E128" s="37" t="n"/>
      <c r="F128" s="40" t="n"/>
      <c r="G128" s="41" t="n"/>
      <c r="H128" s="42" t="n"/>
      <c r="I128" s="41" t="n"/>
      <c r="J128" s="43" t="n"/>
      <c r="K128" s="44">
        <f>IF($A128="","",IF(INDEX(Takeoff_In!$D$2:$D$300,MATCH($A128,Takeoff_In!$A$2:$A$300,0))="",NA(),INDEX(Takeoff_In!$D$2:$D$300,MATCH($A128,Takeoff_In!$A$2:$A$300,0))))</f>
        <v/>
      </c>
      <c r="L128" s="44">
        <f>IF($A128="","",IF(INDEX(Takeoff_In!$E$2:$E$300,MATCH($A128,Takeoff_In!$A$2:$A$300,0))="",NA(),INDEX(Takeoff_In!$E$2:$E$300,MATCH($A128,Takeoff_In!$A$2:$A$300,0))))</f>
        <v/>
      </c>
      <c r="M128" s="45">
        <f>IF($A128="","",IF(ISNUMBER($J128),IF($E128="CU YD",ROUNDUP(K128*(1+$J128),1),ROUNDUP(K128*(1+$J128),0)),NA()))</f>
        <v/>
      </c>
      <c r="N128" s="45">
        <f>IF($A128="","",IF(ISNUMBER($J128),IF($E128="CU YD",ROUNDUP(L128*(1+$J128),1),ROUNDUP(L128*(1+$J128),0)),NA()))</f>
        <v/>
      </c>
      <c r="O128" s="46">
        <f>IF($A128="","",IF(ISNUMBER($F128),M128*$F128,NA()))</f>
        <v/>
      </c>
      <c r="P128" s="46">
        <f>IF($A128="","",IF(ISNUMBER($F128),N128*$F128,NA()))</f>
        <v/>
      </c>
      <c r="Q128" s="37" t="n"/>
    </row>
    <row r="129" ht="15" customHeight="1" s="26">
      <c r="A129" s="37" t="n"/>
      <c r="B129" s="37" t="n"/>
      <c r="C129" s="37" t="n"/>
      <c r="D129" s="37" t="n"/>
      <c r="E129" s="37" t="n"/>
      <c r="F129" s="40" t="n"/>
      <c r="G129" s="41" t="n"/>
      <c r="H129" s="42" t="n"/>
      <c r="I129" s="41" t="n"/>
      <c r="J129" s="43" t="n"/>
      <c r="K129" s="44">
        <f>IF($A129="","",IF(INDEX(Takeoff_In!$D$2:$D$300,MATCH($A129,Takeoff_In!$A$2:$A$300,0))="",NA(),INDEX(Takeoff_In!$D$2:$D$300,MATCH($A129,Takeoff_In!$A$2:$A$300,0))))</f>
        <v/>
      </c>
      <c r="L129" s="44">
        <f>IF($A129="","",IF(INDEX(Takeoff_In!$E$2:$E$300,MATCH($A129,Takeoff_In!$A$2:$A$300,0))="",NA(),INDEX(Takeoff_In!$E$2:$E$300,MATCH($A129,Takeoff_In!$A$2:$A$300,0))))</f>
        <v/>
      </c>
      <c r="M129" s="45">
        <f>IF($A129="","",IF(ISNUMBER($J129),IF($E129="CU YD",ROUNDUP(K129*(1+$J129),1),ROUNDUP(K129*(1+$J129),0)),NA()))</f>
        <v/>
      </c>
      <c r="N129" s="45">
        <f>IF($A129="","",IF(ISNUMBER($J129),IF($E129="CU YD",ROUNDUP(L129*(1+$J129),1),ROUNDUP(L129*(1+$J129),0)),NA()))</f>
        <v/>
      </c>
      <c r="O129" s="46">
        <f>IF($A129="","",IF(ISNUMBER($F129),M129*$F129,NA()))</f>
        <v/>
      </c>
      <c r="P129" s="46">
        <f>IF($A129="","",IF(ISNUMBER($F129),N129*$F129,NA()))</f>
        <v/>
      </c>
      <c r="Q129" s="37" t="n"/>
    </row>
    <row r="130" ht="15" customHeight="1" s="26">
      <c r="A130" s="37" t="n"/>
      <c r="B130" s="37" t="n"/>
      <c r="C130" s="37" t="n"/>
      <c r="D130" s="37" t="n"/>
      <c r="E130" s="37" t="n"/>
      <c r="F130" s="40" t="n"/>
      <c r="G130" s="41" t="n"/>
      <c r="H130" s="42" t="n"/>
      <c r="I130" s="41" t="n"/>
      <c r="J130" s="43" t="n"/>
      <c r="K130" s="44">
        <f>IF($A130="","",IF(INDEX(Takeoff_In!$D$2:$D$300,MATCH($A130,Takeoff_In!$A$2:$A$300,0))="",NA(),INDEX(Takeoff_In!$D$2:$D$300,MATCH($A130,Takeoff_In!$A$2:$A$300,0))))</f>
        <v/>
      </c>
      <c r="L130" s="44">
        <f>IF($A130="","",IF(INDEX(Takeoff_In!$E$2:$E$300,MATCH($A130,Takeoff_In!$A$2:$A$300,0))="",NA(),INDEX(Takeoff_In!$E$2:$E$300,MATCH($A130,Takeoff_In!$A$2:$A$300,0))))</f>
        <v/>
      </c>
      <c r="M130" s="45">
        <f>IF($A130="","",IF(ISNUMBER($J130),IF($E130="CU YD",ROUNDUP(K130*(1+$J130),1),ROUNDUP(K130*(1+$J130),0)),NA()))</f>
        <v/>
      </c>
      <c r="N130" s="45">
        <f>IF($A130="","",IF(ISNUMBER($J130),IF($E130="CU YD",ROUNDUP(L130*(1+$J130),1),ROUNDUP(L130*(1+$J130),0)),NA()))</f>
        <v/>
      </c>
      <c r="O130" s="46">
        <f>IF($A130="","",IF(ISNUMBER($F130),M130*$F130,NA()))</f>
        <v/>
      </c>
      <c r="P130" s="46">
        <f>IF($A130="","",IF(ISNUMBER($F130),N130*$F130,NA()))</f>
        <v/>
      </c>
      <c r="Q130" s="37" t="n"/>
    </row>
    <row r="131" ht="15" customHeight="1" s="26">
      <c r="A131" s="37" t="n"/>
      <c r="B131" s="37" t="n"/>
      <c r="C131" s="37" t="n"/>
      <c r="D131" s="37" t="n"/>
      <c r="E131" s="37" t="n"/>
      <c r="F131" s="40" t="n"/>
      <c r="G131" s="41" t="n"/>
      <c r="H131" s="42" t="n"/>
      <c r="I131" s="41" t="n"/>
      <c r="J131" s="43" t="n"/>
      <c r="K131" s="44">
        <f>IF($A131="","",IF(INDEX(Takeoff_In!$D$2:$D$300,MATCH($A131,Takeoff_In!$A$2:$A$300,0))="",NA(),INDEX(Takeoff_In!$D$2:$D$300,MATCH($A131,Takeoff_In!$A$2:$A$300,0))))</f>
        <v/>
      </c>
      <c r="L131" s="44">
        <f>IF($A131="","",IF(INDEX(Takeoff_In!$E$2:$E$300,MATCH($A131,Takeoff_In!$A$2:$A$300,0))="",NA(),INDEX(Takeoff_In!$E$2:$E$300,MATCH($A131,Takeoff_In!$A$2:$A$300,0))))</f>
        <v/>
      </c>
      <c r="M131" s="45">
        <f>IF($A131="","",IF(ISNUMBER($J131),IF($E131="CU YD",ROUNDUP(K131*(1+$J131),1),ROUNDUP(K131*(1+$J131),0)),NA()))</f>
        <v/>
      </c>
      <c r="N131" s="45">
        <f>IF($A131="","",IF(ISNUMBER($J131),IF($E131="CU YD",ROUNDUP(L131*(1+$J131),1),ROUNDUP(L131*(1+$J131),0)),NA()))</f>
        <v/>
      </c>
      <c r="O131" s="46">
        <f>IF($A131="","",IF(ISNUMBER($F131),M131*$F131,NA()))</f>
        <v/>
      </c>
      <c r="P131" s="46">
        <f>IF($A131="","",IF(ISNUMBER($F131),N131*$F131,NA()))</f>
        <v/>
      </c>
      <c r="Q131" s="37" t="n"/>
    </row>
    <row r="132" ht="15" customHeight="1" s="26">
      <c r="A132" s="37" t="n"/>
      <c r="B132" s="37" t="n"/>
      <c r="C132" s="37" t="n"/>
      <c r="D132" s="37" t="n"/>
      <c r="E132" s="37" t="n"/>
      <c r="F132" s="40" t="n"/>
      <c r="G132" s="41" t="n"/>
      <c r="H132" s="42" t="n"/>
      <c r="I132" s="41" t="n"/>
      <c r="J132" s="43" t="n"/>
      <c r="K132" s="44">
        <f>IF($A132="","",IF(INDEX(Takeoff_In!$D$2:$D$300,MATCH($A132,Takeoff_In!$A$2:$A$300,0))="",NA(),INDEX(Takeoff_In!$D$2:$D$300,MATCH($A132,Takeoff_In!$A$2:$A$300,0))))</f>
        <v/>
      </c>
      <c r="L132" s="44">
        <f>IF($A132="","",IF(INDEX(Takeoff_In!$E$2:$E$300,MATCH($A132,Takeoff_In!$A$2:$A$300,0))="",NA(),INDEX(Takeoff_In!$E$2:$E$300,MATCH($A132,Takeoff_In!$A$2:$A$300,0))))</f>
        <v/>
      </c>
      <c r="M132" s="45">
        <f>IF($A132="","",IF(ISNUMBER($J132),IF($E132="CU YD",ROUNDUP(K132*(1+$J132),1),ROUNDUP(K132*(1+$J132),0)),NA()))</f>
        <v/>
      </c>
      <c r="N132" s="45">
        <f>IF($A132="","",IF(ISNUMBER($J132),IF($E132="CU YD",ROUNDUP(L132*(1+$J132),1),ROUNDUP(L132*(1+$J132),0)),NA()))</f>
        <v/>
      </c>
      <c r="O132" s="46">
        <f>IF($A132="","",IF(ISNUMBER($F132),M132*$F132,NA()))</f>
        <v/>
      </c>
      <c r="P132" s="46">
        <f>IF($A132="","",IF(ISNUMBER($F132),N132*$F132,NA()))</f>
        <v/>
      </c>
      <c r="Q132" s="37" t="n"/>
    </row>
    <row r="133" ht="15" customHeight="1" s="26">
      <c r="A133" s="37" t="n"/>
      <c r="B133" s="37" t="n"/>
      <c r="C133" s="37" t="n"/>
      <c r="D133" s="37" t="n"/>
      <c r="E133" s="37" t="n"/>
      <c r="F133" s="40" t="n"/>
      <c r="G133" s="41" t="n"/>
      <c r="H133" s="42" t="n"/>
      <c r="I133" s="41" t="n"/>
      <c r="J133" s="43" t="n"/>
      <c r="K133" s="44">
        <f>IF($A133="","",IF(INDEX(Takeoff_In!$D$2:$D$300,MATCH($A133,Takeoff_In!$A$2:$A$300,0))="",NA(),INDEX(Takeoff_In!$D$2:$D$300,MATCH($A133,Takeoff_In!$A$2:$A$300,0))))</f>
        <v/>
      </c>
      <c r="L133" s="44">
        <f>IF($A133="","",IF(INDEX(Takeoff_In!$E$2:$E$300,MATCH($A133,Takeoff_In!$A$2:$A$300,0))="",NA(),INDEX(Takeoff_In!$E$2:$E$300,MATCH($A133,Takeoff_In!$A$2:$A$300,0))))</f>
        <v/>
      </c>
      <c r="M133" s="45">
        <f>IF($A133="","",IF(ISNUMBER($J133),IF($E133="CU YD",ROUNDUP(K133*(1+$J133),1),ROUNDUP(K133*(1+$J133),0)),NA()))</f>
        <v/>
      </c>
      <c r="N133" s="45">
        <f>IF($A133="","",IF(ISNUMBER($J133),IF($E133="CU YD",ROUNDUP(L133*(1+$J133),1),ROUNDUP(L133*(1+$J133),0)),NA()))</f>
        <v/>
      </c>
      <c r="O133" s="46">
        <f>IF($A133="","",IF(ISNUMBER($F133),M133*$F133,NA()))</f>
        <v/>
      </c>
      <c r="P133" s="46">
        <f>IF($A133="","",IF(ISNUMBER($F133),N133*$F133,NA()))</f>
        <v/>
      </c>
      <c r="Q133" s="37" t="n"/>
    </row>
    <row r="134" ht="15" customHeight="1" s="26">
      <c r="A134" s="37" t="n"/>
      <c r="B134" s="37" t="n"/>
      <c r="C134" s="37" t="n"/>
      <c r="D134" s="37" t="n"/>
      <c r="E134" s="37" t="n"/>
      <c r="F134" s="40" t="n"/>
      <c r="G134" s="41" t="n"/>
      <c r="H134" s="42" t="n"/>
      <c r="I134" s="41" t="n"/>
      <c r="J134" s="43" t="n"/>
      <c r="K134" s="44">
        <f>IF($A134="","",IF(INDEX(Takeoff_In!$D$2:$D$300,MATCH($A134,Takeoff_In!$A$2:$A$300,0))="",NA(),INDEX(Takeoff_In!$D$2:$D$300,MATCH($A134,Takeoff_In!$A$2:$A$300,0))))</f>
        <v/>
      </c>
      <c r="L134" s="44">
        <f>IF($A134="","",IF(INDEX(Takeoff_In!$E$2:$E$300,MATCH($A134,Takeoff_In!$A$2:$A$300,0))="",NA(),INDEX(Takeoff_In!$E$2:$E$300,MATCH($A134,Takeoff_In!$A$2:$A$300,0))))</f>
        <v/>
      </c>
      <c r="M134" s="45">
        <f>IF($A134="","",IF(ISNUMBER($J134),IF($E134="CU YD",ROUNDUP(K134*(1+$J134),1),ROUNDUP(K134*(1+$J134),0)),NA()))</f>
        <v/>
      </c>
      <c r="N134" s="45">
        <f>IF($A134="","",IF(ISNUMBER($J134),IF($E134="CU YD",ROUNDUP(L134*(1+$J134),1),ROUNDUP(L134*(1+$J134),0)),NA()))</f>
        <v/>
      </c>
      <c r="O134" s="46">
        <f>IF($A134="","",IF(ISNUMBER($F134),M134*$F134,NA()))</f>
        <v/>
      </c>
      <c r="P134" s="46">
        <f>IF($A134="","",IF(ISNUMBER($F134),N134*$F134,NA()))</f>
        <v/>
      </c>
      <c r="Q134" s="37" t="n"/>
    </row>
    <row r="135" ht="15" customHeight="1" s="26">
      <c r="A135" s="37" t="n"/>
      <c r="B135" s="37" t="n"/>
      <c r="C135" s="37" t="n"/>
      <c r="D135" s="37" t="n"/>
      <c r="E135" s="37" t="n"/>
      <c r="F135" s="40" t="n"/>
      <c r="G135" s="41" t="n"/>
      <c r="H135" s="42" t="n"/>
      <c r="I135" s="41" t="n"/>
      <c r="J135" s="43" t="n"/>
      <c r="K135" s="44">
        <f>IF($A135="","",IF(INDEX(Takeoff_In!$D$2:$D$300,MATCH($A135,Takeoff_In!$A$2:$A$300,0))="",NA(),INDEX(Takeoff_In!$D$2:$D$300,MATCH($A135,Takeoff_In!$A$2:$A$300,0))))</f>
        <v/>
      </c>
      <c r="L135" s="44">
        <f>IF($A135="","",IF(INDEX(Takeoff_In!$E$2:$E$300,MATCH($A135,Takeoff_In!$A$2:$A$300,0))="",NA(),INDEX(Takeoff_In!$E$2:$E$300,MATCH($A135,Takeoff_In!$A$2:$A$300,0))))</f>
        <v/>
      </c>
      <c r="M135" s="45">
        <f>IF($A135="","",IF(ISNUMBER($J135),IF($E135="CU YD",ROUNDUP(K135*(1+$J135),1),ROUNDUP(K135*(1+$J135),0)),NA()))</f>
        <v/>
      </c>
      <c r="N135" s="45">
        <f>IF($A135="","",IF(ISNUMBER($J135),IF($E135="CU YD",ROUNDUP(L135*(1+$J135),1),ROUNDUP(L135*(1+$J135),0)),NA()))</f>
        <v/>
      </c>
      <c r="O135" s="46">
        <f>IF($A135="","",IF(ISNUMBER($F135),M135*$F135,NA()))</f>
        <v/>
      </c>
      <c r="P135" s="46">
        <f>IF($A135="","",IF(ISNUMBER($F135),N135*$F135,NA()))</f>
        <v/>
      </c>
      <c r="Q135" s="37" t="n"/>
    </row>
    <row r="136" ht="15" customHeight="1" s="26">
      <c r="A136" s="37" t="n"/>
      <c r="B136" s="37" t="n"/>
      <c r="C136" s="37" t="n"/>
      <c r="D136" s="37" t="n"/>
      <c r="E136" s="37" t="n"/>
      <c r="F136" s="40" t="n"/>
      <c r="G136" s="41" t="n"/>
      <c r="H136" s="42" t="n"/>
      <c r="I136" s="41" t="n"/>
      <c r="J136" s="43" t="n"/>
      <c r="K136" s="44">
        <f>IF($A136="","",IF(INDEX(Takeoff_In!$D$2:$D$300,MATCH($A136,Takeoff_In!$A$2:$A$300,0))="",NA(),INDEX(Takeoff_In!$D$2:$D$300,MATCH($A136,Takeoff_In!$A$2:$A$300,0))))</f>
        <v/>
      </c>
      <c r="L136" s="44">
        <f>IF($A136="","",IF(INDEX(Takeoff_In!$E$2:$E$300,MATCH($A136,Takeoff_In!$A$2:$A$300,0))="",NA(),INDEX(Takeoff_In!$E$2:$E$300,MATCH($A136,Takeoff_In!$A$2:$A$300,0))))</f>
        <v/>
      </c>
      <c r="M136" s="45">
        <f>IF($A136="","",IF(ISNUMBER($J136),IF($E136="CU YD",ROUNDUP(K136*(1+$J136),1),ROUNDUP(K136*(1+$J136),0)),NA()))</f>
        <v/>
      </c>
      <c r="N136" s="45">
        <f>IF($A136="","",IF(ISNUMBER($J136),IF($E136="CU YD",ROUNDUP(L136*(1+$J136),1),ROUNDUP(L136*(1+$J136),0)),NA()))</f>
        <v/>
      </c>
      <c r="O136" s="46">
        <f>IF($A136="","",IF(ISNUMBER($F136),M136*$F136,NA()))</f>
        <v/>
      </c>
      <c r="P136" s="46">
        <f>IF($A136="","",IF(ISNUMBER($F136),N136*$F136,NA()))</f>
        <v/>
      </c>
      <c r="Q136" s="37" t="n"/>
    </row>
    <row r="137" ht="15" customHeight="1" s="26">
      <c r="A137" s="37" t="n"/>
      <c r="B137" s="37" t="n"/>
      <c r="C137" s="37" t="n"/>
      <c r="D137" s="37" t="n"/>
      <c r="E137" s="37" t="n"/>
      <c r="F137" s="40" t="n"/>
      <c r="G137" s="41" t="n"/>
      <c r="H137" s="42" t="n"/>
      <c r="I137" s="41" t="n"/>
      <c r="J137" s="43" t="n"/>
      <c r="K137" s="44">
        <f>IF($A137="","",IF(INDEX(Takeoff_In!$D$2:$D$300,MATCH($A137,Takeoff_In!$A$2:$A$300,0))="",NA(),INDEX(Takeoff_In!$D$2:$D$300,MATCH($A137,Takeoff_In!$A$2:$A$300,0))))</f>
        <v/>
      </c>
      <c r="L137" s="44">
        <f>IF($A137="","",IF(INDEX(Takeoff_In!$E$2:$E$300,MATCH($A137,Takeoff_In!$A$2:$A$300,0))="",NA(),INDEX(Takeoff_In!$E$2:$E$300,MATCH($A137,Takeoff_In!$A$2:$A$300,0))))</f>
        <v/>
      </c>
      <c r="M137" s="45">
        <f>IF($A137="","",IF(ISNUMBER($J137),IF($E137="CU YD",ROUNDUP(K137*(1+$J137),1),ROUNDUP(K137*(1+$J137),0)),NA()))</f>
        <v/>
      </c>
      <c r="N137" s="45">
        <f>IF($A137="","",IF(ISNUMBER($J137),IF($E137="CU YD",ROUNDUP(L137*(1+$J137),1),ROUNDUP(L137*(1+$J137),0)),NA()))</f>
        <v/>
      </c>
      <c r="O137" s="46">
        <f>IF($A137="","",IF(ISNUMBER($F137),M137*$F137,NA()))</f>
        <v/>
      </c>
      <c r="P137" s="46">
        <f>IF($A137="","",IF(ISNUMBER($F137),N137*$F137,NA()))</f>
        <v/>
      </c>
      <c r="Q137" s="37" t="n"/>
    </row>
    <row r="138" ht="15" customHeight="1" s="26">
      <c r="A138" s="37" t="n"/>
      <c r="B138" s="37" t="n"/>
      <c r="C138" s="37" t="n"/>
      <c r="D138" s="37" t="n"/>
      <c r="E138" s="37" t="n"/>
      <c r="F138" s="40" t="n"/>
      <c r="G138" s="41" t="n"/>
      <c r="H138" s="42" t="n"/>
      <c r="I138" s="41" t="n"/>
      <c r="J138" s="43" t="n"/>
      <c r="K138" s="44">
        <f>IF($A138="","",IF(INDEX(Takeoff_In!$D$2:$D$300,MATCH($A138,Takeoff_In!$A$2:$A$300,0))="",NA(),INDEX(Takeoff_In!$D$2:$D$300,MATCH($A138,Takeoff_In!$A$2:$A$300,0))))</f>
        <v/>
      </c>
      <c r="L138" s="44">
        <f>IF($A138="","",IF(INDEX(Takeoff_In!$E$2:$E$300,MATCH($A138,Takeoff_In!$A$2:$A$300,0))="",NA(),INDEX(Takeoff_In!$E$2:$E$300,MATCH($A138,Takeoff_In!$A$2:$A$300,0))))</f>
        <v/>
      </c>
      <c r="M138" s="45">
        <f>IF($A138="","",IF(ISNUMBER($J138),IF($E138="CU YD",ROUNDUP(K138*(1+$J138),1),ROUNDUP(K138*(1+$J138),0)),NA()))</f>
        <v/>
      </c>
      <c r="N138" s="45">
        <f>IF($A138="","",IF(ISNUMBER($J138),IF($E138="CU YD",ROUNDUP(L138*(1+$J138),1),ROUNDUP(L138*(1+$J138),0)),NA()))</f>
        <v/>
      </c>
      <c r="O138" s="46">
        <f>IF($A138="","",IF(ISNUMBER($F138),M138*$F138,NA()))</f>
        <v/>
      </c>
      <c r="P138" s="46">
        <f>IF($A138="","",IF(ISNUMBER($F138),N138*$F138,NA()))</f>
        <v/>
      </c>
      <c r="Q138" s="37" t="n"/>
    </row>
    <row r="139" ht="15" customHeight="1" s="26">
      <c r="A139" s="37" t="n"/>
      <c r="B139" s="37" t="n"/>
      <c r="C139" s="37" t="n"/>
      <c r="D139" s="37" t="n"/>
      <c r="E139" s="37" t="n"/>
      <c r="F139" s="40" t="n"/>
      <c r="G139" s="41" t="n"/>
      <c r="H139" s="42" t="n"/>
      <c r="I139" s="41" t="n"/>
      <c r="J139" s="43" t="n"/>
      <c r="K139" s="44">
        <f>IF($A139="","",IF(INDEX(Takeoff_In!$D$2:$D$300,MATCH($A139,Takeoff_In!$A$2:$A$300,0))="",NA(),INDEX(Takeoff_In!$D$2:$D$300,MATCH($A139,Takeoff_In!$A$2:$A$300,0))))</f>
        <v/>
      </c>
      <c r="L139" s="44">
        <f>IF($A139="","",IF(INDEX(Takeoff_In!$E$2:$E$300,MATCH($A139,Takeoff_In!$A$2:$A$300,0))="",NA(),INDEX(Takeoff_In!$E$2:$E$300,MATCH($A139,Takeoff_In!$A$2:$A$300,0))))</f>
        <v/>
      </c>
      <c r="M139" s="45">
        <f>IF($A139="","",IF(ISNUMBER($J139),IF($E139="CU YD",ROUNDUP(K139*(1+$J139),1),ROUNDUP(K139*(1+$J139),0)),NA()))</f>
        <v/>
      </c>
      <c r="N139" s="45">
        <f>IF($A139="","",IF(ISNUMBER($J139),IF($E139="CU YD",ROUNDUP(L139*(1+$J139),1),ROUNDUP(L139*(1+$J139),0)),NA()))</f>
        <v/>
      </c>
      <c r="O139" s="46">
        <f>IF($A139="","",IF(ISNUMBER($F139),M139*$F139,NA()))</f>
        <v/>
      </c>
      <c r="P139" s="46">
        <f>IF($A139="","",IF(ISNUMBER($F139),N139*$F139,NA()))</f>
        <v/>
      </c>
      <c r="Q139" s="37" t="n"/>
    </row>
    <row r="140" ht="15" customHeight="1" s="26">
      <c r="A140" s="37" t="n"/>
      <c r="B140" s="37" t="n"/>
      <c r="C140" s="37" t="n"/>
      <c r="D140" s="37" t="n"/>
      <c r="E140" s="37" t="n"/>
      <c r="F140" s="40" t="n"/>
      <c r="G140" s="41" t="n"/>
      <c r="H140" s="42" t="n"/>
      <c r="I140" s="41" t="n"/>
      <c r="J140" s="43" t="n"/>
      <c r="K140" s="44">
        <f>IF($A140="","",IF(INDEX(Takeoff_In!$D$2:$D$300,MATCH($A140,Takeoff_In!$A$2:$A$300,0))="",NA(),INDEX(Takeoff_In!$D$2:$D$300,MATCH($A140,Takeoff_In!$A$2:$A$300,0))))</f>
        <v/>
      </c>
      <c r="L140" s="44">
        <f>IF($A140="","",IF(INDEX(Takeoff_In!$E$2:$E$300,MATCH($A140,Takeoff_In!$A$2:$A$300,0))="",NA(),INDEX(Takeoff_In!$E$2:$E$300,MATCH($A140,Takeoff_In!$A$2:$A$300,0))))</f>
        <v/>
      </c>
      <c r="M140" s="45">
        <f>IF($A140="","",IF(ISNUMBER($J140),IF($E140="CU YD",ROUNDUP(K140*(1+$J140),1),ROUNDUP(K140*(1+$J140),0)),NA()))</f>
        <v/>
      </c>
      <c r="N140" s="45">
        <f>IF($A140="","",IF(ISNUMBER($J140),IF($E140="CU YD",ROUNDUP(L140*(1+$J140),1),ROUNDUP(L140*(1+$J140),0)),NA()))</f>
        <v/>
      </c>
      <c r="O140" s="46">
        <f>IF($A140="","",IF(ISNUMBER($F140),M140*$F140,NA()))</f>
        <v/>
      </c>
      <c r="P140" s="46">
        <f>IF($A140="","",IF(ISNUMBER($F140),N140*$F140,NA()))</f>
        <v/>
      </c>
      <c r="Q140" s="37" t="n"/>
    </row>
    <row r="141" ht="15" customHeight="1" s="26">
      <c r="A141" s="37" t="n"/>
      <c r="B141" s="37" t="n"/>
      <c r="C141" s="37" t="n"/>
      <c r="D141" s="37" t="n"/>
      <c r="E141" s="37" t="n"/>
      <c r="F141" s="40" t="n"/>
      <c r="G141" s="41" t="n"/>
      <c r="H141" s="42" t="n"/>
      <c r="I141" s="41" t="n"/>
      <c r="J141" s="43" t="n"/>
      <c r="K141" s="44">
        <f>IF($A141="","",IF(INDEX(Takeoff_In!$D$2:$D$300,MATCH($A141,Takeoff_In!$A$2:$A$300,0))="",NA(),INDEX(Takeoff_In!$D$2:$D$300,MATCH($A141,Takeoff_In!$A$2:$A$300,0))))</f>
        <v/>
      </c>
      <c r="L141" s="44">
        <f>IF($A141="","",IF(INDEX(Takeoff_In!$E$2:$E$300,MATCH($A141,Takeoff_In!$A$2:$A$300,0))="",NA(),INDEX(Takeoff_In!$E$2:$E$300,MATCH($A141,Takeoff_In!$A$2:$A$300,0))))</f>
        <v/>
      </c>
      <c r="M141" s="45">
        <f>IF($A141="","",IF(ISNUMBER($J141),IF($E141="CU YD",ROUNDUP(K141*(1+$J141),1),ROUNDUP(K141*(1+$J141),0)),NA()))</f>
        <v/>
      </c>
      <c r="N141" s="45">
        <f>IF($A141="","",IF(ISNUMBER($J141),IF($E141="CU YD",ROUNDUP(L141*(1+$J141),1),ROUNDUP(L141*(1+$J141),0)),NA()))</f>
        <v/>
      </c>
      <c r="O141" s="46">
        <f>IF($A141="","",IF(ISNUMBER($F141),M141*$F141,NA()))</f>
        <v/>
      </c>
      <c r="P141" s="46">
        <f>IF($A141="","",IF(ISNUMBER($F141),N141*$F141,NA()))</f>
        <v/>
      </c>
      <c r="Q141" s="37" t="n"/>
    </row>
    <row r="142" ht="15" customHeight="1" s="26">
      <c r="A142" s="37" t="n"/>
      <c r="B142" s="37" t="n"/>
      <c r="C142" s="37" t="n"/>
      <c r="D142" s="37" t="n"/>
      <c r="E142" s="37" t="n"/>
      <c r="F142" s="40" t="n"/>
      <c r="G142" s="41" t="n"/>
      <c r="H142" s="42" t="n"/>
      <c r="I142" s="41" t="n"/>
      <c r="J142" s="43" t="n"/>
      <c r="K142" s="44">
        <f>IF($A142="","",IF(INDEX(Takeoff_In!$D$2:$D$300,MATCH($A142,Takeoff_In!$A$2:$A$300,0))="",NA(),INDEX(Takeoff_In!$D$2:$D$300,MATCH($A142,Takeoff_In!$A$2:$A$300,0))))</f>
        <v/>
      </c>
      <c r="L142" s="44">
        <f>IF($A142="","",IF(INDEX(Takeoff_In!$E$2:$E$300,MATCH($A142,Takeoff_In!$A$2:$A$300,0))="",NA(),INDEX(Takeoff_In!$E$2:$E$300,MATCH($A142,Takeoff_In!$A$2:$A$300,0))))</f>
        <v/>
      </c>
      <c r="M142" s="45">
        <f>IF($A142="","",IF(ISNUMBER($J142),IF($E142="CU YD",ROUNDUP(K142*(1+$J142),1),ROUNDUP(K142*(1+$J142),0)),NA()))</f>
        <v/>
      </c>
      <c r="N142" s="45">
        <f>IF($A142="","",IF(ISNUMBER($J142),IF($E142="CU YD",ROUNDUP(L142*(1+$J142),1),ROUNDUP(L142*(1+$J142),0)),NA()))</f>
        <v/>
      </c>
      <c r="O142" s="46">
        <f>IF($A142="","",IF(ISNUMBER($F142),M142*$F142,NA()))</f>
        <v/>
      </c>
      <c r="P142" s="46">
        <f>IF($A142="","",IF(ISNUMBER($F142),N142*$F142,NA()))</f>
        <v/>
      </c>
      <c r="Q142" s="37" t="n"/>
    </row>
    <row r="143" ht="15" customHeight="1" s="26">
      <c r="A143" s="37" t="n"/>
      <c r="B143" s="37" t="n"/>
      <c r="C143" s="37" t="n"/>
      <c r="D143" s="37" t="n"/>
      <c r="E143" s="37" t="n"/>
      <c r="F143" s="40" t="n"/>
      <c r="G143" s="41" t="n"/>
      <c r="H143" s="42" t="n"/>
      <c r="I143" s="41" t="n"/>
      <c r="J143" s="43" t="n"/>
      <c r="K143" s="44">
        <f>IF($A143="","",IF(INDEX(Takeoff_In!$D$2:$D$300,MATCH($A143,Takeoff_In!$A$2:$A$300,0))="",NA(),INDEX(Takeoff_In!$D$2:$D$300,MATCH($A143,Takeoff_In!$A$2:$A$300,0))))</f>
        <v/>
      </c>
      <c r="L143" s="44">
        <f>IF($A143="","",IF(INDEX(Takeoff_In!$E$2:$E$300,MATCH($A143,Takeoff_In!$A$2:$A$300,0))="",NA(),INDEX(Takeoff_In!$E$2:$E$300,MATCH($A143,Takeoff_In!$A$2:$A$300,0))))</f>
        <v/>
      </c>
      <c r="M143" s="45">
        <f>IF($A143="","",IF(ISNUMBER($J143),IF($E143="CU YD",ROUNDUP(K143*(1+$J143),1),ROUNDUP(K143*(1+$J143),0)),NA()))</f>
        <v/>
      </c>
      <c r="N143" s="45">
        <f>IF($A143="","",IF(ISNUMBER($J143),IF($E143="CU YD",ROUNDUP(L143*(1+$J143),1),ROUNDUP(L143*(1+$J143),0)),NA()))</f>
        <v/>
      </c>
      <c r="O143" s="46">
        <f>IF($A143="","",IF(ISNUMBER($F143),M143*$F143,NA()))</f>
        <v/>
      </c>
      <c r="P143" s="46">
        <f>IF($A143="","",IF(ISNUMBER($F143),N143*$F143,NA()))</f>
        <v/>
      </c>
      <c r="Q143" s="37" t="n"/>
    </row>
    <row r="144" ht="15" customHeight="1" s="26">
      <c r="A144" s="37" t="n"/>
      <c r="B144" s="37" t="n"/>
      <c r="C144" s="37" t="n"/>
      <c r="D144" s="37" t="n"/>
      <c r="E144" s="37" t="n"/>
      <c r="F144" s="40" t="n"/>
      <c r="G144" s="41" t="n"/>
      <c r="H144" s="42" t="n"/>
      <c r="I144" s="41" t="n"/>
      <c r="J144" s="43" t="n"/>
      <c r="K144" s="44">
        <f>IF($A144="","",IF(INDEX(Takeoff_In!$D$2:$D$300,MATCH($A144,Takeoff_In!$A$2:$A$300,0))="",NA(),INDEX(Takeoff_In!$D$2:$D$300,MATCH($A144,Takeoff_In!$A$2:$A$300,0))))</f>
        <v/>
      </c>
      <c r="L144" s="44">
        <f>IF($A144="","",IF(INDEX(Takeoff_In!$E$2:$E$300,MATCH($A144,Takeoff_In!$A$2:$A$300,0))="",NA(),INDEX(Takeoff_In!$E$2:$E$300,MATCH($A144,Takeoff_In!$A$2:$A$300,0))))</f>
        <v/>
      </c>
      <c r="M144" s="45">
        <f>IF($A144="","",IF(ISNUMBER($J144),IF($E144="CU YD",ROUNDUP(K144*(1+$J144),1),ROUNDUP(K144*(1+$J144),0)),NA()))</f>
        <v/>
      </c>
      <c r="N144" s="45">
        <f>IF($A144="","",IF(ISNUMBER($J144),IF($E144="CU YD",ROUNDUP(L144*(1+$J144),1),ROUNDUP(L144*(1+$J144),0)),NA()))</f>
        <v/>
      </c>
      <c r="O144" s="46">
        <f>IF($A144="","",IF(ISNUMBER($F144),M144*$F144,NA()))</f>
        <v/>
      </c>
      <c r="P144" s="46">
        <f>IF($A144="","",IF(ISNUMBER($F144),N144*$F144,NA()))</f>
        <v/>
      </c>
      <c r="Q144" s="37" t="n"/>
    </row>
    <row r="145" ht="15" customHeight="1" s="26">
      <c r="A145" s="37" t="n"/>
      <c r="B145" s="37" t="n"/>
      <c r="C145" s="37" t="n"/>
      <c r="D145" s="37" t="n"/>
      <c r="E145" s="37" t="n"/>
      <c r="F145" s="40" t="n"/>
      <c r="G145" s="41" t="n"/>
      <c r="H145" s="42" t="n"/>
      <c r="I145" s="41" t="n"/>
      <c r="J145" s="43" t="n"/>
      <c r="K145" s="44">
        <f>IF($A145="","",IF(INDEX(Takeoff_In!$D$2:$D$300,MATCH($A145,Takeoff_In!$A$2:$A$300,0))="",NA(),INDEX(Takeoff_In!$D$2:$D$300,MATCH($A145,Takeoff_In!$A$2:$A$300,0))))</f>
        <v/>
      </c>
      <c r="L145" s="44">
        <f>IF($A145="","",IF(INDEX(Takeoff_In!$E$2:$E$300,MATCH($A145,Takeoff_In!$A$2:$A$300,0))="",NA(),INDEX(Takeoff_In!$E$2:$E$300,MATCH($A145,Takeoff_In!$A$2:$A$300,0))))</f>
        <v/>
      </c>
      <c r="M145" s="45">
        <f>IF($A145="","",IF(ISNUMBER($J145),IF($E145="CU YD",ROUNDUP(K145*(1+$J145),1),ROUNDUP(K145*(1+$J145),0)),NA()))</f>
        <v/>
      </c>
      <c r="N145" s="45">
        <f>IF($A145="","",IF(ISNUMBER($J145),IF($E145="CU YD",ROUNDUP(L145*(1+$J145),1),ROUNDUP(L145*(1+$J145),0)),NA()))</f>
        <v/>
      </c>
      <c r="O145" s="46">
        <f>IF($A145="","",IF(ISNUMBER($F145),M145*$F145,NA()))</f>
        <v/>
      </c>
      <c r="P145" s="46">
        <f>IF($A145="","",IF(ISNUMBER($F145),N145*$F145,NA()))</f>
        <v/>
      </c>
      <c r="Q145" s="37" t="n"/>
    </row>
    <row r="146" ht="15" customHeight="1" s="26">
      <c r="A146" s="37" t="n"/>
      <c r="B146" s="37" t="n"/>
      <c r="C146" s="37" t="n"/>
      <c r="D146" s="37" t="n"/>
      <c r="E146" s="37" t="n"/>
      <c r="F146" s="40" t="n"/>
      <c r="G146" s="41" t="n"/>
      <c r="H146" s="42" t="n"/>
      <c r="I146" s="41" t="n"/>
      <c r="J146" s="43" t="n"/>
      <c r="K146" s="44">
        <f>IF($A146="","",IF(INDEX(Takeoff_In!$D$2:$D$300,MATCH($A146,Takeoff_In!$A$2:$A$300,0))="",NA(),INDEX(Takeoff_In!$D$2:$D$300,MATCH($A146,Takeoff_In!$A$2:$A$300,0))))</f>
        <v/>
      </c>
      <c r="L146" s="44">
        <f>IF($A146="","",IF(INDEX(Takeoff_In!$E$2:$E$300,MATCH($A146,Takeoff_In!$A$2:$A$300,0))="",NA(),INDEX(Takeoff_In!$E$2:$E$300,MATCH($A146,Takeoff_In!$A$2:$A$300,0))))</f>
        <v/>
      </c>
      <c r="M146" s="45">
        <f>IF($A146="","",IF(ISNUMBER($J146),IF($E146="CU YD",ROUNDUP(K146*(1+$J146),1),ROUNDUP(K146*(1+$J146),0)),NA()))</f>
        <v/>
      </c>
      <c r="N146" s="45">
        <f>IF($A146="","",IF(ISNUMBER($J146),IF($E146="CU YD",ROUNDUP(L146*(1+$J146),1),ROUNDUP(L146*(1+$J146),0)),NA()))</f>
        <v/>
      </c>
      <c r="O146" s="46">
        <f>IF($A146="","",IF(ISNUMBER($F146),M146*$F146,NA()))</f>
        <v/>
      </c>
      <c r="P146" s="46">
        <f>IF($A146="","",IF(ISNUMBER($F146),N146*$F146,NA()))</f>
        <v/>
      </c>
      <c r="Q146" s="37" t="n"/>
    </row>
    <row r="147" ht="15" customHeight="1" s="26">
      <c r="A147" s="37" t="n"/>
      <c r="B147" s="37" t="n"/>
      <c r="C147" s="37" t="n"/>
      <c r="D147" s="37" t="n"/>
      <c r="E147" s="37" t="n"/>
      <c r="F147" s="40" t="n"/>
      <c r="G147" s="41" t="n"/>
      <c r="H147" s="42" t="n"/>
      <c r="I147" s="41" t="n"/>
      <c r="J147" s="43" t="n"/>
      <c r="K147" s="44">
        <f>IF($A147="","",IF(INDEX(Takeoff_In!$D$2:$D$300,MATCH($A147,Takeoff_In!$A$2:$A$300,0))="",NA(),INDEX(Takeoff_In!$D$2:$D$300,MATCH($A147,Takeoff_In!$A$2:$A$300,0))))</f>
        <v/>
      </c>
      <c r="L147" s="44">
        <f>IF($A147="","",IF(INDEX(Takeoff_In!$E$2:$E$300,MATCH($A147,Takeoff_In!$A$2:$A$300,0))="",NA(),INDEX(Takeoff_In!$E$2:$E$300,MATCH($A147,Takeoff_In!$A$2:$A$300,0))))</f>
        <v/>
      </c>
      <c r="M147" s="45">
        <f>IF($A147="","",IF(ISNUMBER($J147),IF($E147="CU YD",ROUNDUP(K147*(1+$J147),1),ROUNDUP(K147*(1+$J147),0)),NA()))</f>
        <v/>
      </c>
      <c r="N147" s="45">
        <f>IF($A147="","",IF(ISNUMBER($J147),IF($E147="CU YD",ROUNDUP(L147*(1+$J147),1),ROUNDUP(L147*(1+$J147),0)),NA()))</f>
        <v/>
      </c>
      <c r="O147" s="46">
        <f>IF($A147="","",IF(ISNUMBER($F147),M147*$F147,NA()))</f>
        <v/>
      </c>
      <c r="P147" s="46">
        <f>IF($A147="","",IF(ISNUMBER($F147),N147*$F147,NA()))</f>
        <v/>
      </c>
      <c r="Q147" s="37" t="n"/>
    </row>
    <row r="148" ht="15" customHeight="1" s="26">
      <c r="A148" s="37" t="n"/>
      <c r="B148" s="37" t="n"/>
      <c r="C148" s="37" t="n"/>
      <c r="D148" s="37" t="n"/>
      <c r="E148" s="37" t="n"/>
      <c r="F148" s="40" t="n"/>
      <c r="G148" s="41" t="n"/>
      <c r="H148" s="42" t="n"/>
      <c r="I148" s="41" t="n"/>
      <c r="J148" s="43" t="n"/>
      <c r="K148" s="44">
        <f>IF($A148="","",IF(INDEX(Takeoff_In!$D$2:$D$300,MATCH($A148,Takeoff_In!$A$2:$A$300,0))="",NA(),INDEX(Takeoff_In!$D$2:$D$300,MATCH($A148,Takeoff_In!$A$2:$A$300,0))))</f>
        <v/>
      </c>
      <c r="L148" s="44">
        <f>IF($A148="","",IF(INDEX(Takeoff_In!$E$2:$E$300,MATCH($A148,Takeoff_In!$A$2:$A$300,0))="",NA(),INDEX(Takeoff_In!$E$2:$E$300,MATCH($A148,Takeoff_In!$A$2:$A$300,0))))</f>
        <v/>
      </c>
      <c r="M148" s="45">
        <f>IF($A148="","",IF(ISNUMBER($J148),IF($E148="CU YD",ROUNDUP(K148*(1+$J148),1),ROUNDUP(K148*(1+$J148),0)),NA()))</f>
        <v/>
      </c>
      <c r="N148" s="45">
        <f>IF($A148="","",IF(ISNUMBER($J148),IF($E148="CU YD",ROUNDUP(L148*(1+$J148),1),ROUNDUP(L148*(1+$J148),0)),NA()))</f>
        <v/>
      </c>
      <c r="O148" s="46">
        <f>IF($A148="","",IF(ISNUMBER($F148),M148*$F148,NA()))</f>
        <v/>
      </c>
      <c r="P148" s="46">
        <f>IF($A148="","",IF(ISNUMBER($F148),N148*$F148,NA()))</f>
        <v/>
      </c>
      <c r="Q148" s="37" t="n"/>
    </row>
    <row r="149" ht="15" customHeight="1" s="26">
      <c r="A149" s="37" t="n"/>
      <c r="B149" s="37" t="n"/>
      <c r="C149" s="37" t="n"/>
      <c r="D149" s="37" t="n"/>
      <c r="E149" s="37" t="n"/>
      <c r="F149" s="40" t="n"/>
      <c r="G149" s="41" t="n"/>
      <c r="H149" s="42" t="n"/>
      <c r="I149" s="41" t="n"/>
      <c r="J149" s="43" t="n"/>
      <c r="K149" s="44">
        <f>IF($A149="","",IF(INDEX(Takeoff_In!$D$2:$D$300,MATCH($A149,Takeoff_In!$A$2:$A$300,0))="",NA(),INDEX(Takeoff_In!$D$2:$D$300,MATCH($A149,Takeoff_In!$A$2:$A$300,0))))</f>
        <v/>
      </c>
      <c r="L149" s="44">
        <f>IF($A149="","",IF(INDEX(Takeoff_In!$E$2:$E$300,MATCH($A149,Takeoff_In!$A$2:$A$300,0))="",NA(),INDEX(Takeoff_In!$E$2:$E$300,MATCH($A149,Takeoff_In!$A$2:$A$300,0))))</f>
        <v/>
      </c>
      <c r="M149" s="45">
        <f>IF($A149="","",IF(ISNUMBER($J149),IF($E149="CU YD",ROUNDUP(K149*(1+$J149),1),ROUNDUP(K149*(1+$J149),0)),NA()))</f>
        <v/>
      </c>
      <c r="N149" s="45">
        <f>IF($A149="","",IF(ISNUMBER($J149),IF($E149="CU YD",ROUNDUP(L149*(1+$J149),1),ROUNDUP(L149*(1+$J149),0)),NA()))</f>
        <v/>
      </c>
      <c r="O149" s="46">
        <f>IF($A149="","",IF(ISNUMBER($F149),M149*$F149,NA()))</f>
        <v/>
      </c>
      <c r="P149" s="46">
        <f>IF($A149="","",IF(ISNUMBER($F149),N149*$F149,NA()))</f>
        <v/>
      </c>
      <c r="Q149" s="37" t="n"/>
    </row>
    <row r="150" ht="15" customHeight="1" s="26">
      <c r="A150" s="37" t="n"/>
      <c r="B150" s="37" t="n"/>
      <c r="C150" s="37" t="n"/>
      <c r="D150" s="37" t="n"/>
      <c r="E150" s="37" t="n"/>
      <c r="F150" s="40" t="n"/>
      <c r="G150" s="41" t="n"/>
      <c r="H150" s="42" t="n"/>
      <c r="I150" s="41" t="n"/>
      <c r="J150" s="43" t="n"/>
      <c r="K150" s="44">
        <f>IF($A150="","",IF(INDEX(Takeoff_In!$D$2:$D$300,MATCH($A150,Takeoff_In!$A$2:$A$300,0))="",NA(),INDEX(Takeoff_In!$D$2:$D$300,MATCH($A150,Takeoff_In!$A$2:$A$300,0))))</f>
        <v/>
      </c>
      <c r="L150" s="44">
        <f>IF($A150="","",IF(INDEX(Takeoff_In!$E$2:$E$300,MATCH($A150,Takeoff_In!$A$2:$A$300,0))="",NA(),INDEX(Takeoff_In!$E$2:$E$300,MATCH($A150,Takeoff_In!$A$2:$A$300,0))))</f>
        <v/>
      </c>
      <c r="M150" s="45">
        <f>IF($A150="","",IF(ISNUMBER($J150),IF($E150="CU YD",ROUNDUP(K150*(1+$J150),1),ROUNDUP(K150*(1+$J150),0)),NA()))</f>
        <v/>
      </c>
      <c r="N150" s="45">
        <f>IF($A150="","",IF(ISNUMBER($J150),IF($E150="CU YD",ROUNDUP(L150*(1+$J150),1),ROUNDUP(L150*(1+$J150),0)),NA()))</f>
        <v/>
      </c>
      <c r="O150" s="46">
        <f>IF($A150="","",IF(ISNUMBER($F150),M150*$F150,NA()))</f>
        <v/>
      </c>
      <c r="P150" s="46">
        <f>IF($A150="","",IF(ISNUMBER($F150),N150*$F150,NA()))</f>
        <v/>
      </c>
      <c r="Q150" s="37" t="n"/>
    </row>
    <row r="151" ht="15" customHeight="1" s="26">
      <c r="A151" s="37" t="n"/>
      <c r="B151" s="37" t="n"/>
      <c r="C151" s="37" t="n"/>
      <c r="D151" s="37" t="n"/>
      <c r="E151" s="37" t="n"/>
      <c r="F151" s="40" t="n"/>
      <c r="G151" s="41" t="n"/>
      <c r="H151" s="42" t="n"/>
      <c r="I151" s="41" t="n"/>
      <c r="J151" s="43" t="n"/>
      <c r="K151" s="44">
        <f>IF($A151="","",IF(INDEX(Takeoff_In!$D$2:$D$300,MATCH($A151,Takeoff_In!$A$2:$A$300,0))="",NA(),INDEX(Takeoff_In!$D$2:$D$300,MATCH($A151,Takeoff_In!$A$2:$A$300,0))))</f>
        <v/>
      </c>
      <c r="L151" s="44">
        <f>IF($A151="","",IF(INDEX(Takeoff_In!$E$2:$E$300,MATCH($A151,Takeoff_In!$A$2:$A$300,0))="",NA(),INDEX(Takeoff_In!$E$2:$E$300,MATCH($A151,Takeoff_In!$A$2:$A$300,0))))</f>
        <v/>
      </c>
      <c r="M151" s="45">
        <f>IF($A151="","",IF(ISNUMBER($J151),IF($E151="CU YD",ROUNDUP(K151*(1+$J151),1),ROUNDUP(K151*(1+$J151),0)),NA()))</f>
        <v/>
      </c>
      <c r="N151" s="45">
        <f>IF($A151="","",IF(ISNUMBER($J151),IF($E151="CU YD",ROUNDUP(L151*(1+$J151),1),ROUNDUP(L151*(1+$J151),0)),NA()))</f>
        <v/>
      </c>
      <c r="O151" s="46">
        <f>IF($A151="","",IF(ISNUMBER($F151),M151*$F151,NA()))</f>
        <v/>
      </c>
      <c r="P151" s="46">
        <f>IF($A151="","",IF(ISNUMBER($F151),N151*$F151,NA()))</f>
        <v/>
      </c>
      <c r="Q151" s="37" t="n"/>
    </row>
    <row r="152" ht="15" customHeight="1" s="26">
      <c r="A152" s="37" t="n"/>
      <c r="B152" s="37" t="n"/>
      <c r="C152" s="37" t="n"/>
      <c r="D152" s="37" t="n"/>
      <c r="E152" s="37" t="n"/>
      <c r="F152" s="40" t="n"/>
      <c r="G152" s="41" t="n"/>
      <c r="H152" s="42" t="n"/>
      <c r="I152" s="41" t="n"/>
      <c r="J152" s="43" t="n"/>
      <c r="K152" s="44">
        <f>IF($A152="","",IF(INDEX(Takeoff_In!$D$2:$D$300,MATCH($A152,Takeoff_In!$A$2:$A$300,0))="",NA(),INDEX(Takeoff_In!$D$2:$D$300,MATCH($A152,Takeoff_In!$A$2:$A$300,0))))</f>
        <v/>
      </c>
      <c r="L152" s="44">
        <f>IF($A152="","",IF(INDEX(Takeoff_In!$E$2:$E$300,MATCH($A152,Takeoff_In!$A$2:$A$300,0))="",NA(),INDEX(Takeoff_In!$E$2:$E$300,MATCH($A152,Takeoff_In!$A$2:$A$300,0))))</f>
        <v/>
      </c>
      <c r="M152" s="45">
        <f>IF($A152="","",IF(ISNUMBER($J152),IF($E152="CU YD",ROUNDUP(K152*(1+$J152),1),ROUNDUP(K152*(1+$J152),0)),NA()))</f>
        <v/>
      </c>
      <c r="N152" s="45">
        <f>IF($A152="","",IF(ISNUMBER($J152),IF($E152="CU YD",ROUNDUP(L152*(1+$J152),1),ROUNDUP(L152*(1+$J152),0)),NA()))</f>
        <v/>
      </c>
      <c r="O152" s="46">
        <f>IF($A152="","",IF(ISNUMBER($F152),M152*$F152,NA()))</f>
        <v/>
      </c>
      <c r="P152" s="46">
        <f>IF($A152="","",IF(ISNUMBER($F152),N152*$F152,NA()))</f>
        <v/>
      </c>
      <c r="Q152" s="37" t="n"/>
    </row>
    <row r="153" ht="15" customHeight="1" s="26">
      <c r="A153" s="37" t="n"/>
      <c r="B153" s="37" t="n"/>
      <c r="C153" s="37" t="n"/>
      <c r="D153" s="37" t="n"/>
      <c r="E153" s="37" t="n"/>
      <c r="F153" s="40" t="n"/>
      <c r="G153" s="41" t="n"/>
      <c r="H153" s="42" t="n"/>
      <c r="I153" s="41" t="n"/>
      <c r="J153" s="43" t="n"/>
      <c r="K153" s="44">
        <f>IF($A153="","",IF(INDEX(Takeoff_In!$D$2:$D$300,MATCH($A153,Takeoff_In!$A$2:$A$300,0))="",NA(),INDEX(Takeoff_In!$D$2:$D$300,MATCH($A153,Takeoff_In!$A$2:$A$300,0))))</f>
        <v/>
      </c>
      <c r="L153" s="44">
        <f>IF($A153="","",IF(INDEX(Takeoff_In!$E$2:$E$300,MATCH($A153,Takeoff_In!$A$2:$A$300,0))="",NA(),INDEX(Takeoff_In!$E$2:$E$300,MATCH($A153,Takeoff_In!$A$2:$A$300,0))))</f>
        <v/>
      </c>
      <c r="M153" s="45">
        <f>IF($A153="","",IF(ISNUMBER($J153),IF($E153="CU YD",ROUNDUP(K153*(1+$J153),1),ROUNDUP(K153*(1+$J153),0)),NA()))</f>
        <v/>
      </c>
      <c r="N153" s="45">
        <f>IF($A153="","",IF(ISNUMBER($J153),IF($E153="CU YD",ROUNDUP(L153*(1+$J153),1),ROUNDUP(L153*(1+$J153),0)),NA()))</f>
        <v/>
      </c>
      <c r="O153" s="46">
        <f>IF($A153="","",IF(ISNUMBER($F153),M153*$F153,NA()))</f>
        <v/>
      </c>
      <c r="P153" s="46">
        <f>IF($A153="","",IF(ISNUMBER($F153),N153*$F153,NA()))</f>
        <v/>
      </c>
      <c r="Q153" s="37" t="n"/>
    </row>
    <row r="154" ht="15" customHeight="1" s="26">
      <c r="A154" s="37" t="n"/>
      <c r="B154" s="37" t="n"/>
      <c r="C154" s="37" t="n"/>
      <c r="D154" s="37" t="n"/>
      <c r="E154" s="37" t="n"/>
      <c r="F154" s="40" t="n"/>
      <c r="G154" s="41" t="n"/>
      <c r="H154" s="42" t="n"/>
      <c r="I154" s="41" t="n"/>
      <c r="J154" s="43" t="n"/>
      <c r="K154" s="44">
        <f>IF($A154="","",IF(INDEX(Takeoff_In!$D$2:$D$300,MATCH($A154,Takeoff_In!$A$2:$A$300,0))="",NA(),INDEX(Takeoff_In!$D$2:$D$300,MATCH($A154,Takeoff_In!$A$2:$A$300,0))))</f>
        <v/>
      </c>
      <c r="L154" s="44">
        <f>IF($A154="","",IF(INDEX(Takeoff_In!$E$2:$E$300,MATCH($A154,Takeoff_In!$A$2:$A$300,0))="",NA(),INDEX(Takeoff_In!$E$2:$E$300,MATCH($A154,Takeoff_In!$A$2:$A$300,0))))</f>
        <v/>
      </c>
      <c r="M154" s="45">
        <f>IF($A154="","",IF(ISNUMBER($J154),IF($E154="CU YD",ROUNDUP(K154*(1+$J154),1),ROUNDUP(K154*(1+$J154),0)),NA()))</f>
        <v/>
      </c>
      <c r="N154" s="45">
        <f>IF($A154="","",IF(ISNUMBER($J154),IF($E154="CU YD",ROUNDUP(L154*(1+$J154),1),ROUNDUP(L154*(1+$J154),0)),NA()))</f>
        <v/>
      </c>
      <c r="O154" s="46">
        <f>IF($A154="","",IF(ISNUMBER($F154),M154*$F154,NA()))</f>
        <v/>
      </c>
      <c r="P154" s="46">
        <f>IF($A154="","",IF(ISNUMBER($F154),N154*$F154,NA()))</f>
        <v/>
      </c>
      <c r="Q154" s="37" t="n"/>
    </row>
    <row r="155" ht="15" customHeight="1" s="26">
      <c r="A155" s="37" t="n"/>
      <c r="B155" s="37" t="n"/>
      <c r="C155" s="37" t="n"/>
      <c r="D155" s="37" t="n"/>
      <c r="E155" s="37" t="n"/>
      <c r="F155" s="40" t="n"/>
      <c r="G155" s="41" t="n"/>
      <c r="H155" s="42" t="n"/>
      <c r="I155" s="41" t="n"/>
      <c r="J155" s="43" t="n"/>
      <c r="K155" s="44">
        <f>IF($A155="","",IF(INDEX(Takeoff_In!$D$2:$D$300,MATCH($A155,Takeoff_In!$A$2:$A$300,0))="",NA(),INDEX(Takeoff_In!$D$2:$D$300,MATCH($A155,Takeoff_In!$A$2:$A$300,0))))</f>
        <v/>
      </c>
      <c r="L155" s="44">
        <f>IF($A155="","",IF(INDEX(Takeoff_In!$E$2:$E$300,MATCH($A155,Takeoff_In!$A$2:$A$300,0))="",NA(),INDEX(Takeoff_In!$E$2:$E$300,MATCH($A155,Takeoff_In!$A$2:$A$300,0))))</f>
        <v/>
      </c>
      <c r="M155" s="45">
        <f>IF($A155="","",IF(ISNUMBER($J155),IF($E155="CU YD",ROUNDUP(K155*(1+$J155),1),ROUNDUP(K155*(1+$J155),0)),NA()))</f>
        <v/>
      </c>
      <c r="N155" s="45">
        <f>IF($A155="","",IF(ISNUMBER($J155),IF($E155="CU YD",ROUNDUP(L155*(1+$J155),1),ROUNDUP(L155*(1+$J155),0)),NA()))</f>
        <v/>
      </c>
      <c r="O155" s="46">
        <f>IF($A155="","",IF(ISNUMBER($F155),M155*$F155,NA()))</f>
        <v/>
      </c>
      <c r="P155" s="46">
        <f>IF($A155="","",IF(ISNUMBER($F155),N155*$F155,NA()))</f>
        <v/>
      </c>
      <c r="Q155" s="37" t="n"/>
    </row>
    <row r="156" ht="15" customHeight="1" s="26">
      <c r="A156" s="37" t="n"/>
      <c r="B156" s="37" t="n"/>
      <c r="C156" s="37" t="n"/>
      <c r="D156" s="37" t="n"/>
      <c r="E156" s="37" t="n"/>
      <c r="F156" s="40" t="n"/>
      <c r="G156" s="41" t="n"/>
      <c r="H156" s="42" t="n"/>
      <c r="I156" s="41" t="n"/>
      <c r="J156" s="43" t="n"/>
      <c r="K156" s="44">
        <f>IF($A156="","",IF(INDEX(Takeoff_In!$D$2:$D$300,MATCH($A156,Takeoff_In!$A$2:$A$300,0))="",NA(),INDEX(Takeoff_In!$D$2:$D$300,MATCH($A156,Takeoff_In!$A$2:$A$300,0))))</f>
        <v/>
      </c>
      <c r="L156" s="44">
        <f>IF($A156="","",IF(INDEX(Takeoff_In!$E$2:$E$300,MATCH($A156,Takeoff_In!$A$2:$A$300,0))="",NA(),INDEX(Takeoff_In!$E$2:$E$300,MATCH($A156,Takeoff_In!$A$2:$A$300,0))))</f>
        <v/>
      </c>
      <c r="M156" s="45">
        <f>IF($A156="","",IF(ISNUMBER($J156),IF($E156="CU YD",ROUNDUP(K156*(1+$J156),1),ROUNDUP(K156*(1+$J156),0)),NA()))</f>
        <v/>
      </c>
      <c r="N156" s="45">
        <f>IF($A156="","",IF(ISNUMBER($J156),IF($E156="CU YD",ROUNDUP(L156*(1+$J156),1),ROUNDUP(L156*(1+$J156),0)),NA()))</f>
        <v/>
      </c>
      <c r="O156" s="46">
        <f>IF($A156="","",IF(ISNUMBER($F156),M156*$F156,NA()))</f>
        <v/>
      </c>
      <c r="P156" s="46">
        <f>IF($A156="","",IF(ISNUMBER($F156),N156*$F156,NA()))</f>
        <v/>
      </c>
      <c r="Q156" s="37" t="n"/>
    </row>
    <row r="157" ht="15" customHeight="1" s="26">
      <c r="A157" s="37" t="n"/>
      <c r="B157" s="37" t="n"/>
      <c r="C157" s="37" t="n"/>
      <c r="D157" s="37" t="n"/>
      <c r="E157" s="37" t="n"/>
      <c r="F157" s="40" t="n"/>
      <c r="G157" s="41" t="n"/>
      <c r="H157" s="42" t="n"/>
      <c r="I157" s="41" t="n"/>
      <c r="J157" s="43" t="n"/>
      <c r="K157" s="44">
        <f>IF($A157="","",IF(INDEX(Takeoff_In!$D$2:$D$300,MATCH($A157,Takeoff_In!$A$2:$A$300,0))="",NA(),INDEX(Takeoff_In!$D$2:$D$300,MATCH($A157,Takeoff_In!$A$2:$A$300,0))))</f>
        <v/>
      </c>
      <c r="L157" s="44">
        <f>IF($A157="","",IF(INDEX(Takeoff_In!$E$2:$E$300,MATCH($A157,Takeoff_In!$A$2:$A$300,0))="",NA(),INDEX(Takeoff_In!$E$2:$E$300,MATCH($A157,Takeoff_In!$A$2:$A$300,0))))</f>
        <v/>
      </c>
      <c r="M157" s="45">
        <f>IF($A157="","",IF(ISNUMBER($J157),IF($E157="CU YD",ROUNDUP(K157*(1+$J157),1),ROUNDUP(K157*(1+$J157),0)),NA()))</f>
        <v/>
      </c>
      <c r="N157" s="45">
        <f>IF($A157="","",IF(ISNUMBER($J157),IF($E157="CU YD",ROUNDUP(L157*(1+$J157),1),ROUNDUP(L157*(1+$J157),0)),NA()))</f>
        <v/>
      </c>
      <c r="O157" s="46">
        <f>IF($A157="","",IF(ISNUMBER($F157),M157*$F157,NA()))</f>
        <v/>
      </c>
      <c r="P157" s="46">
        <f>IF($A157="","",IF(ISNUMBER($F157),N157*$F157,NA()))</f>
        <v/>
      </c>
      <c r="Q157" s="37" t="n"/>
    </row>
    <row r="158" ht="15" customHeight="1" s="26">
      <c r="A158" s="37" t="n"/>
      <c r="B158" s="37" t="n"/>
      <c r="C158" s="37" t="n"/>
      <c r="D158" s="37" t="n"/>
      <c r="E158" s="37" t="n"/>
      <c r="F158" s="40" t="n"/>
      <c r="G158" s="41" t="n"/>
      <c r="H158" s="42" t="n"/>
      <c r="I158" s="41" t="n"/>
      <c r="J158" s="43" t="n"/>
      <c r="K158" s="44">
        <f>IF($A158="","",IF(INDEX(Takeoff_In!$D$2:$D$300,MATCH($A158,Takeoff_In!$A$2:$A$300,0))="",NA(),INDEX(Takeoff_In!$D$2:$D$300,MATCH($A158,Takeoff_In!$A$2:$A$300,0))))</f>
        <v/>
      </c>
      <c r="L158" s="44">
        <f>IF($A158="","",IF(INDEX(Takeoff_In!$E$2:$E$300,MATCH($A158,Takeoff_In!$A$2:$A$300,0))="",NA(),INDEX(Takeoff_In!$E$2:$E$300,MATCH($A158,Takeoff_In!$A$2:$A$300,0))))</f>
        <v/>
      </c>
      <c r="M158" s="45">
        <f>IF($A158="","",IF(ISNUMBER($J158),IF($E158="CU YD",ROUNDUP(K158*(1+$J158),1),ROUNDUP(K158*(1+$J158),0)),NA()))</f>
        <v/>
      </c>
      <c r="N158" s="45">
        <f>IF($A158="","",IF(ISNUMBER($J158),IF($E158="CU YD",ROUNDUP(L158*(1+$J158),1),ROUNDUP(L158*(1+$J158),0)),NA()))</f>
        <v/>
      </c>
      <c r="O158" s="46">
        <f>IF($A158="","",IF(ISNUMBER($F158),M158*$F158,NA()))</f>
        <v/>
      </c>
      <c r="P158" s="46">
        <f>IF($A158="","",IF(ISNUMBER($F158),N158*$F158,NA()))</f>
        <v/>
      </c>
      <c r="Q158" s="37" t="n"/>
    </row>
    <row r="159" ht="15" customHeight="1" s="26">
      <c r="A159" s="37" t="n"/>
      <c r="B159" s="37" t="n"/>
      <c r="C159" s="37" t="n"/>
      <c r="D159" s="37" t="n"/>
      <c r="E159" s="37" t="n"/>
      <c r="F159" s="40" t="n"/>
      <c r="G159" s="41" t="n"/>
      <c r="H159" s="42" t="n"/>
      <c r="I159" s="41" t="n"/>
      <c r="J159" s="43" t="n"/>
      <c r="K159" s="44">
        <f>IF($A159="","",IF(INDEX(Takeoff_In!$D$2:$D$300,MATCH($A159,Takeoff_In!$A$2:$A$300,0))="",NA(),INDEX(Takeoff_In!$D$2:$D$300,MATCH($A159,Takeoff_In!$A$2:$A$300,0))))</f>
        <v/>
      </c>
      <c r="L159" s="44">
        <f>IF($A159="","",IF(INDEX(Takeoff_In!$E$2:$E$300,MATCH($A159,Takeoff_In!$A$2:$A$300,0))="",NA(),INDEX(Takeoff_In!$E$2:$E$300,MATCH($A159,Takeoff_In!$A$2:$A$300,0))))</f>
        <v/>
      </c>
      <c r="M159" s="45">
        <f>IF($A159="","",IF(ISNUMBER($J159),IF($E159="CU YD",ROUNDUP(K159*(1+$J159),1),ROUNDUP(K159*(1+$J159),0)),NA()))</f>
        <v/>
      </c>
      <c r="N159" s="45">
        <f>IF($A159="","",IF(ISNUMBER($J159),IF($E159="CU YD",ROUNDUP(L159*(1+$J159),1),ROUNDUP(L159*(1+$J159),0)),NA()))</f>
        <v/>
      </c>
      <c r="O159" s="46">
        <f>IF($A159="","",IF(ISNUMBER($F159),M159*$F159,NA()))</f>
        <v/>
      </c>
      <c r="P159" s="46">
        <f>IF($A159="","",IF(ISNUMBER($F159),N159*$F159,NA()))</f>
        <v/>
      </c>
      <c r="Q159" s="37" t="n"/>
    </row>
    <row r="160" ht="15" customHeight="1" s="26">
      <c r="A160" s="37" t="n"/>
      <c r="B160" s="37" t="n"/>
      <c r="C160" s="37" t="n"/>
      <c r="D160" s="37" t="n"/>
      <c r="E160" s="37" t="n"/>
      <c r="F160" s="40" t="n"/>
      <c r="G160" s="41" t="n"/>
      <c r="H160" s="42" t="n"/>
      <c r="I160" s="41" t="n"/>
      <c r="J160" s="43" t="n"/>
      <c r="K160" s="44">
        <f>IF($A160="","",IF(INDEX(Takeoff_In!$D$2:$D$300,MATCH($A160,Takeoff_In!$A$2:$A$300,0))="",NA(),INDEX(Takeoff_In!$D$2:$D$300,MATCH($A160,Takeoff_In!$A$2:$A$300,0))))</f>
        <v/>
      </c>
      <c r="L160" s="44">
        <f>IF($A160="","",IF(INDEX(Takeoff_In!$E$2:$E$300,MATCH($A160,Takeoff_In!$A$2:$A$300,0))="",NA(),INDEX(Takeoff_In!$E$2:$E$300,MATCH($A160,Takeoff_In!$A$2:$A$300,0))))</f>
        <v/>
      </c>
      <c r="M160" s="45">
        <f>IF($A160="","",IF(ISNUMBER($J160),IF($E160="CU YD",ROUNDUP(K160*(1+$J160),1),ROUNDUP(K160*(1+$J160),0)),NA()))</f>
        <v/>
      </c>
      <c r="N160" s="45">
        <f>IF($A160="","",IF(ISNUMBER($J160),IF($E160="CU YD",ROUNDUP(L160*(1+$J160),1),ROUNDUP(L160*(1+$J160),0)),NA()))</f>
        <v/>
      </c>
      <c r="O160" s="46">
        <f>IF($A160="","",IF(ISNUMBER($F160),M160*$F160,NA()))</f>
        <v/>
      </c>
      <c r="P160" s="46">
        <f>IF($A160="","",IF(ISNUMBER($F160),N160*$F160,NA()))</f>
        <v/>
      </c>
      <c r="Q160" s="37" t="n"/>
    </row>
    <row r="161" ht="15" customHeight="1" s="26">
      <c r="A161" s="37" t="n"/>
      <c r="B161" s="37" t="n"/>
      <c r="C161" s="37" t="n"/>
      <c r="D161" s="37" t="n"/>
      <c r="E161" s="37" t="n"/>
      <c r="F161" s="40" t="n"/>
      <c r="G161" s="41" t="n"/>
      <c r="H161" s="42" t="n"/>
      <c r="I161" s="41" t="n"/>
      <c r="J161" s="43" t="n"/>
      <c r="K161" s="44">
        <f>IF($A161="","",IF(INDEX(Takeoff_In!$D$2:$D$300,MATCH($A161,Takeoff_In!$A$2:$A$300,0))="",NA(),INDEX(Takeoff_In!$D$2:$D$300,MATCH($A161,Takeoff_In!$A$2:$A$300,0))))</f>
        <v/>
      </c>
      <c r="L161" s="44">
        <f>IF($A161="","",IF(INDEX(Takeoff_In!$E$2:$E$300,MATCH($A161,Takeoff_In!$A$2:$A$300,0))="",NA(),INDEX(Takeoff_In!$E$2:$E$300,MATCH($A161,Takeoff_In!$A$2:$A$300,0))))</f>
        <v/>
      </c>
      <c r="M161" s="45">
        <f>IF($A161="","",IF(ISNUMBER($J161),IF($E161="CU YD",ROUNDUP(K161*(1+$J161),1),ROUNDUP(K161*(1+$J161),0)),NA()))</f>
        <v/>
      </c>
      <c r="N161" s="45">
        <f>IF($A161="","",IF(ISNUMBER($J161),IF($E161="CU YD",ROUNDUP(L161*(1+$J161),1),ROUNDUP(L161*(1+$J161),0)),NA()))</f>
        <v/>
      </c>
      <c r="O161" s="46">
        <f>IF($A161="","",IF(ISNUMBER($F161),M161*$F161,NA()))</f>
        <v/>
      </c>
      <c r="P161" s="46">
        <f>IF($A161="","",IF(ISNUMBER($F161),N161*$F161,NA()))</f>
        <v/>
      </c>
      <c r="Q161" s="37" t="n"/>
    </row>
    <row r="162" ht="15" customHeight="1" s="26">
      <c r="A162" s="37" t="n"/>
      <c r="B162" s="37" t="n"/>
      <c r="C162" s="37" t="n"/>
      <c r="D162" s="37" t="n"/>
      <c r="E162" s="37" t="n"/>
      <c r="F162" s="40" t="n"/>
      <c r="G162" s="41" t="n"/>
      <c r="H162" s="42" t="n"/>
      <c r="I162" s="41" t="n"/>
      <c r="J162" s="43" t="n"/>
      <c r="K162" s="44">
        <f>IF($A162="","",IF(INDEX(Takeoff_In!$D$2:$D$300,MATCH($A162,Takeoff_In!$A$2:$A$300,0))="",NA(),INDEX(Takeoff_In!$D$2:$D$300,MATCH($A162,Takeoff_In!$A$2:$A$300,0))))</f>
        <v/>
      </c>
      <c r="L162" s="44">
        <f>IF($A162="","",IF(INDEX(Takeoff_In!$E$2:$E$300,MATCH($A162,Takeoff_In!$A$2:$A$300,0))="",NA(),INDEX(Takeoff_In!$E$2:$E$300,MATCH($A162,Takeoff_In!$A$2:$A$300,0))))</f>
        <v/>
      </c>
      <c r="M162" s="45">
        <f>IF($A162="","",IF(ISNUMBER($J162),IF($E162="CU YD",ROUNDUP(K162*(1+$J162),1),ROUNDUP(K162*(1+$J162),0)),NA()))</f>
        <v/>
      </c>
      <c r="N162" s="45">
        <f>IF($A162="","",IF(ISNUMBER($J162),IF($E162="CU YD",ROUNDUP(L162*(1+$J162),1),ROUNDUP(L162*(1+$J162),0)),NA()))</f>
        <v/>
      </c>
      <c r="O162" s="46">
        <f>IF($A162="","",IF(ISNUMBER($F162),M162*$F162,NA()))</f>
        <v/>
      </c>
      <c r="P162" s="46">
        <f>IF($A162="","",IF(ISNUMBER($F162),N162*$F162,NA()))</f>
        <v/>
      </c>
      <c r="Q162" s="37" t="n"/>
    </row>
    <row r="163" ht="15" customHeight="1" s="26">
      <c r="A163" s="37" t="n"/>
      <c r="B163" s="37" t="n"/>
      <c r="C163" s="37" t="n"/>
      <c r="D163" s="37" t="n"/>
      <c r="E163" s="37" t="n"/>
      <c r="F163" s="40" t="n"/>
      <c r="G163" s="41" t="n"/>
      <c r="H163" s="42" t="n"/>
      <c r="I163" s="41" t="n"/>
      <c r="J163" s="43" t="n"/>
      <c r="K163" s="44">
        <f>IF($A163="","",IF(INDEX(Takeoff_In!$D$2:$D$300,MATCH($A163,Takeoff_In!$A$2:$A$300,0))="",NA(),INDEX(Takeoff_In!$D$2:$D$300,MATCH($A163,Takeoff_In!$A$2:$A$300,0))))</f>
        <v/>
      </c>
      <c r="L163" s="44">
        <f>IF($A163="","",IF(INDEX(Takeoff_In!$E$2:$E$300,MATCH($A163,Takeoff_In!$A$2:$A$300,0))="",NA(),INDEX(Takeoff_In!$E$2:$E$300,MATCH($A163,Takeoff_In!$A$2:$A$300,0))))</f>
        <v/>
      </c>
      <c r="M163" s="45">
        <f>IF($A163="","",IF(ISNUMBER($J163),IF($E163="CU YD",ROUNDUP(K163*(1+$J163),1),ROUNDUP(K163*(1+$J163),0)),NA()))</f>
        <v/>
      </c>
      <c r="N163" s="45">
        <f>IF($A163="","",IF(ISNUMBER($J163),IF($E163="CU YD",ROUNDUP(L163*(1+$J163),1),ROUNDUP(L163*(1+$J163),0)),NA()))</f>
        <v/>
      </c>
      <c r="O163" s="46">
        <f>IF($A163="","",IF(ISNUMBER($F163),M163*$F163,NA()))</f>
        <v/>
      </c>
      <c r="P163" s="46">
        <f>IF($A163="","",IF(ISNUMBER($F163),N163*$F163,NA()))</f>
        <v/>
      </c>
      <c r="Q163" s="37" t="n"/>
    </row>
    <row r="164" ht="15" customHeight="1" s="26">
      <c r="A164" s="37" t="n"/>
      <c r="B164" s="37" t="n"/>
      <c r="C164" s="37" t="n"/>
      <c r="D164" s="37" t="n"/>
      <c r="E164" s="37" t="n"/>
      <c r="F164" s="40" t="n"/>
      <c r="G164" s="41" t="n"/>
      <c r="H164" s="42" t="n"/>
      <c r="I164" s="41" t="n"/>
      <c r="J164" s="43" t="n"/>
      <c r="K164" s="44">
        <f>IF($A164="","",IF(INDEX(Takeoff_In!$D$2:$D$300,MATCH($A164,Takeoff_In!$A$2:$A$300,0))="",NA(),INDEX(Takeoff_In!$D$2:$D$300,MATCH($A164,Takeoff_In!$A$2:$A$300,0))))</f>
        <v/>
      </c>
      <c r="L164" s="44">
        <f>IF($A164="","",IF(INDEX(Takeoff_In!$E$2:$E$300,MATCH($A164,Takeoff_In!$A$2:$A$300,0))="",NA(),INDEX(Takeoff_In!$E$2:$E$300,MATCH($A164,Takeoff_In!$A$2:$A$300,0))))</f>
        <v/>
      </c>
      <c r="M164" s="45">
        <f>IF($A164="","",IF(ISNUMBER($J164),IF($E164="CU YD",ROUNDUP(K164*(1+$J164),1),ROUNDUP(K164*(1+$J164),0)),NA()))</f>
        <v/>
      </c>
      <c r="N164" s="45">
        <f>IF($A164="","",IF(ISNUMBER($J164),IF($E164="CU YD",ROUNDUP(L164*(1+$J164),1),ROUNDUP(L164*(1+$J164),0)),NA()))</f>
        <v/>
      </c>
      <c r="O164" s="46">
        <f>IF($A164="","",IF(ISNUMBER($F164),M164*$F164,NA()))</f>
        <v/>
      </c>
      <c r="P164" s="46">
        <f>IF($A164="","",IF(ISNUMBER($F164),N164*$F164,NA()))</f>
        <v/>
      </c>
      <c r="Q164" s="37" t="n"/>
    </row>
    <row r="165" ht="15" customHeight="1" s="26">
      <c r="A165" s="37" t="n"/>
      <c r="B165" s="37" t="n"/>
      <c r="C165" s="37" t="n"/>
      <c r="D165" s="37" t="n"/>
      <c r="E165" s="37" t="n"/>
      <c r="F165" s="40" t="n"/>
      <c r="G165" s="41" t="n"/>
      <c r="H165" s="42" t="n"/>
      <c r="I165" s="41" t="n"/>
      <c r="J165" s="43" t="n"/>
      <c r="K165" s="44">
        <f>IF($A165="","",IF(INDEX(Takeoff_In!$D$2:$D$300,MATCH($A165,Takeoff_In!$A$2:$A$300,0))="",NA(),INDEX(Takeoff_In!$D$2:$D$300,MATCH($A165,Takeoff_In!$A$2:$A$300,0))))</f>
        <v/>
      </c>
      <c r="L165" s="44">
        <f>IF($A165="","",IF(INDEX(Takeoff_In!$E$2:$E$300,MATCH($A165,Takeoff_In!$A$2:$A$300,0))="",NA(),INDEX(Takeoff_In!$E$2:$E$300,MATCH($A165,Takeoff_In!$A$2:$A$300,0))))</f>
        <v/>
      </c>
      <c r="M165" s="45">
        <f>IF($A165="","",IF(ISNUMBER($J165),IF($E165="CU YD",ROUNDUP(K165*(1+$J165),1),ROUNDUP(K165*(1+$J165),0)),NA()))</f>
        <v/>
      </c>
      <c r="N165" s="45">
        <f>IF($A165="","",IF(ISNUMBER($J165),IF($E165="CU YD",ROUNDUP(L165*(1+$J165),1),ROUNDUP(L165*(1+$J165),0)),NA()))</f>
        <v/>
      </c>
      <c r="O165" s="46">
        <f>IF($A165="","",IF(ISNUMBER($F165),M165*$F165,NA()))</f>
        <v/>
      </c>
      <c r="P165" s="46">
        <f>IF($A165="","",IF(ISNUMBER($F165),N165*$F165,NA()))</f>
        <v/>
      </c>
      <c r="Q165" s="37" t="n"/>
    </row>
    <row r="166" ht="15" customHeight="1" s="26">
      <c r="A166" s="37" t="n"/>
      <c r="B166" s="37" t="n"/>
      <c r="C166" s="37" t="n"/>
      <c r="D166" s="37" t="n"/>
      <c r="E166" s="37" t="n"/>
      <c r="F166" s="40" t="n"/>
      <c r="G166" s="41" t="n"/>
      <c r="H166" s="42" t="n"/>
      <c r="I166" s="41" t="n"/>
      <c r="J166" s="43" t="n"/>
      <c r="K166" s="44">
        <f>IF($A166="","",IF(INDEX(Takeoff_In!$D$2:$D$300,MATCH($A166,Takeoff_In!$A$2:$A$300,0))="",NA(),INDEX(Takeoff_In!$D$2:$D$300,MATCH($A166,Takeoff_In!$A$2:$A$300,0))))</f>
        <v/>
      </c>
      <c r="L166" s="44">
        <f>IF($A166="","",IF(INDEX(Takeoff_In!$E$2:$E$300,MATCH($A166,Takeoff_In!$A$2:$A$300,0))="",NA(),INDEX(Takeoff_In!$E$2:$E$300,MATCH($A166,Takeoff_In!$A$2:$A$300,0))))</f>
        <v/>
      </c>
      <c r="M166" s="45">
        <f>IF($A166="","",IF(ISNUMBER($J166),IF($E166="CU YD",ROUNDUP(K166*(1+$J166),1),ROUNDUP(K166*(1+$J166),0)),NA()))</f>
        <v/>
      </c>
      <c r="N166" s="45">
        <f>IF($A166="","",IF(ISNUMBER($J166),IF($E166="CU YD",ROUNDUP(L166*(1+$J166),1),ROUNDUP(L166*(1+$J166),0)),NA()))</f>
        <v/>
      </c>
      <c r="O166" s="46">
        <f>IF($A166="","",IF(ISNUMBER($F166),M166*$F166,NA()))</f>
        <v/>
      </c>
      <c r="P166" s="46">
        <f>IF($A166="","",IF(ISNUMBER($F166),N166*$F166,NA()))</f>
        <v/>
      </c>
      <c r="Q166" s="37" t="n"/>
    </row>
    <row r="167" ht="15" customHeight="1" s="26">
      <c r="A167" s="37" t="n"/>
      <c r="B167" s="37" t="n"/>
      <c r="C167" s="37" t="n"/>
      <c r="D167" s="37" t="n"/>
      <c r="E167" s="37" t="n"/>
      <c r="F167" s="40" t="n"/>
      <c r="G167" s="41" t="n"/>
      <c r="H167" s="42" t="n"/>
      <c r="I167" s="41" t="n"/>
      <c r="J167" s="43" t="n"/>
      <c r="K167" s="44">
        <f>IF($A167="","",IF(INDEX(Takeoff_In!$D$2:$D$300,MATCH($A167,Takeoff_In!$A$2:$A$300,0))="",NA(),INDEX(Takeoff_In!$D$2:$D$300,MATCH($A167,Takeoff_In!$A$2:$A$300,0))))</f>
        <v/>
      </c>
      <c r="L167" s="44">
        <f>IF($A167="","",IF(INDEX(Takeoff_In!$E$2:$E$300,MATCH($A167,Takeoff_In!$A$2:$A$300,0))="",NA(),INDEX(Takeoff_In!$E$2:$E$300,MATCH($A167,Takeoff_In!$A$2:$A$300,0))))</f>
        <v/>
      </c>
      <c r="M167" s="45">
        <f>IF($A167="","",IF(ISNUMBER($J167),IF($E167="CU YD",ROUNDUP(K167*(1+$J167),1),ROUNDUP(K167*(1+$J167),0)),NA()))</f>
        <v/>
      </c>
      <c r="N167" s="45">
        <f>IF($A167="","",IF(ISNUMBER($J167),IF($E167="CU YD",ROUNDUP(L167*(1+$J167),1),ROUNDUP(L167*(1+$J167),0)),NA()))</f>
        <v/>
      </c>
      <c r="O167" s="46">
        <f>IF($A167="","",IF(ISNUMBER($F167),M167*$F167,NA()))</f>
        <v/>
      </c>
      <c r="P167" s="46">
        <f>IF($A167="","",IF(ISNUMBER($F167),N167*$F167,NA()))</f>
        <v/>
      </c>
      <c r="Q167" s="37" t="n"/>
    </row>
    <row r="168" ht="15" customHeight="1" s="26">
      <c r="A168" s="37" t="n"/>
      <c r="B168" s="37" t="n"/>
      <c r="C168" s="37" t="n"/>
      <c r="D168" s="37" t="n"/>
      <c r="E168" s="37" t="n"/>
      <c r="F168" s="40" t="n"/>
      <c r="G168" s="41" t="n"/>
      <c r="H168" s="42" t="n"/>
      <c r="I168" s="41" t="n"/>
      <c r="J168" s="43" t="n"/>
      <c r="K168" s="44">
        <f>IF($A168="","",IF(INDEX(Takeoff_In!$D$2:$D$300,MATCH($A168,Takeoff_In!$A$2:$A$300,0))="",NA(),INDEX(Takeoff_In!$D$2:$D$300,MATCH($A168,Takeoff_In!$A$2:$A$300,0))))</f>
        <v/>
      </c>
      <c r="L168" s="44">
        <f>IF($A168="","",IF(INDEX(Takeoff_In!$E$2:$E$300,MATCH($A168,Takeoff_In!$A$2:$A$300,0))="",NA(),INDEX(Takeoff_In!$E$2:$E$300,MATCH($A168,Takeoff_In!$A$2:$A$300,0))))</f>
        <v/>
      </c>
      <c r="M168" s="45">
        <f>IF($A168="","",IF(ISNUMBER($J168),IF($E168="CU YD",ROUNDUP(K168*(1+$J168),1),ROUNDUP(K168*(1+$J168),0)),NA()))</f>
        <v/>
      </c>
      <c r="N168" s="45">
        <f>IF($A168="","",IF(ISNUMBER($J168),IF($E168="CU YD",ROUNDUP(L168*(1+$J168),1),ROUNDUP(L168*(1+$J168),0)),NA()))</f>
        <v/>
      </c>
      <c r="O168" s="46">
        <f>IF($A168="","",IF(ISNUMBER($F168),M168*$F168,NA()))</f>
        <v/>
      </c>
      <c r="P168" s="46">
        <f>IF($A168="","",IF(ISNUMBER($F168),N168*$F168,NA()))</f>
        <v/>
      </c>
      <c r="Q168" s="37" t="n"/>
    </row>
    <row r="169" ht="15" customHeight="1" s="26">
      <c r="A169" s="37" t="n"/>
      <c r="B169" s="37" t="n"/>
      <c r="C169" s="37" t="n"/>
      <c r="D169" s="37" t="n"/>
      <c r="E169" s="37" t="n"/>
      <c r="F169" s="40" t="n"/>
      <c r="G169" s="41" t="n"/>
      <c r="H169" s="42" t="n"/>
      <c r="I169" s="41" t="n"/>
      <c r="J169" s="43" t="n"/>
      <c r="K169" s="44">
        <f>IF($A169="","",IF(INDEX(Takeoff_In!$D$2:$D$300,MATCH($A169,Takeoff_In!$A$2:$A$300,0))="",NA(),INDEX(Takeoff_In!$D$2:$D$300,MATCH($A169,Takeoff_In!$A$2:$A$300,0))))</f>
        <v/>
      </c>
      <c r="L169" s="44">
        <f>IF($A169="","",IF(INDEX(Takeoff_In!$E$2:$E$300,MATCH($A169,Takeoff_In!$A$2:$A$300,0))="",NA(),INDEX(Takeoff_In!$E$2:$E$300,MATCH($A169,Takeoff_In!$A$2:$A$300,0))))</f>
        <v/>
      </c>
      <c r="M169" s="45">
        <f>IF($A169="","",IF(ISNUMBER($J169),IF($E169="CU YD",ROUNDUP(K169*(1+$J169),1),ROUNDUP(K169*(1+$J169),0)),NA()))</f>
        <v/>
      </c>
      <c r="N169" s="45">
        <f>IF($A169="","",IF(ISNUMBER($J169),IF($E169="CU YD",ROUNDUP(L169*(1+$J169),1),ROUNDUP(L169*(1+$J169),0)),NA()))</f>
        <v/>
      </c>
      <c r="O169" s="46">
        <f>IF($A169="","",IF(ISNUMBER($F169),M169*$F169,NA()))</f>
        <v/>
      </c>
      <c r="P169" s="46">
        <f>IF($A169="","",IF(ISNUMBER($F169),N169*$F169,NA()))</f>
        <v/>
      </c>
      <c r="Q169" s="37" t="n"/>
    </row>
    <row r="170" ht="15" customHeight="1" s="26">
      <c r="A170" s="37" t="n"/>
      <c r="B170" s="37" t="n"/>
      <c r="C170" s="37" t="n"/>
      <c r="D170" s="37" t="n"/>
      <c r="E170" s="37" t="n"/>
      <c r="F170" s="40" t="n"/>
      <c r="G170" s="41" t="n"/>
      <c r="H170" s="42" t="n"/>
      <c r="I170" s="41" t="n"/>
      <c r="J170" s="43" t="n"/>
      <c r="K170" s="44">
        <f>IF($A170="","",IF(INDEX(Takeoff_In!$D$2:$D$300,MATCH($A170,Takeoff_In!$A$2:$A$300,0))="",NA(),INDEX(Takeoff_In!$D$2:$D$300,MATCH($A170,Takeoff_In!$A$2:$A$300,0))))</f>
        <v/>
      </c>
      <c r="L170" s="44">
        <f>IF($A170="","",IF(INDEX(Takeoff_In!$E$2:$E$300,MATCH($A170,Takeoff_In!$A$2:$A$300,0))="",NA(),INDEX(Takeoff_In!$E$2:$E$300,MATCH($A170,Takeoff_In!$A$2:$A$300,0))))</f>
        <v/>
      </c>
      <c r="M170" s="45">
        <f>IF($A170="","",IF(ISNUMBER($J170),IF($E170="CU YD",ROUNDUP(K170*(1+$J170),1),ROUNDUP(K170*(1+$J170),0)),NA()))</f>
        <v/>
      </c>
      <c r="N170" s="45">
        <f>IF($A170="","",IF(ISNUMBER($J170),IF($E170="CU YD",ROUNDUP(L170*(1+$J170),1),ROUNDUP(L170*(1+$J170),0)),NA()))</f>
        <v/>
      </c>
      <c r="O170" s="46">
        <f>IF($A170="","",IF(ISNUMBER($F170),M170*$F170,NA()))</f>
        <v/>
      </c>
      <c r="P170" s="46">
        <f>IF($A170="","",IF(ISNUMBER($F170),N170*$F170,NA()))</f>
        <v/>
      </c>
      <c r="Q170" s="37" t="n"/>
    </row>
    <row r="171" ht="15" customHeight="1" s="26">
      <c r="A171" s="37" t="n"/>
      <c r="B171" s="37" t="n"/>
      <c r="C171" s="37" t="n"/>
      <c r="D171" s="37" t="n"/>
      <c r="E171" s="37" t="n"/>
      <c r="F171" s="40" t="n"/>
      <c r="G171" s="41" t="n"/>
      <c r="H171" s="42" t="n"/>
      <c r="I171" s="41" t="n"/>
      <c r="J171" s="43" t="n"/>
      <c r="K171" s="44">
        <f>IF($A171="","",IF(INDEX(Takeoff_In!$D$2:$D$300,MATCH($A171,Takeoff_In!$A$2:$A$300,0))="",NA(),INDEX(Takeoff_In!$D$2:$D$300,MATCH($A171,Takeoff_In!$A$2:$A$300,0))))</f>
        <v/>
      </c>
      <c r="L171" s="44">
        <f>IF($A171="","",IF(INDEX(Takeoff_In!$E$2:$E$300,MATCH($A171,Takeoff_In!$A$2:$A$300,0))="",NA(),INDEX(Takeoff_In!$E$2:$E$300,MATCH($A171,Takeoff_In!$A$2:$A$300,0))))</f>
        <v/>
      </c>
      <c r="M171" s="45">
        <f>IF($A171="","",IF(ISNUMBER($J171),IF($E171="CU YD",ROUNDUP(K171*(1+$J171),1),ROUNDUP(K171*(1+$J171),0)),NA()))</f>
        <v/>
      </c>
      <c r="N171" s="45">
        <f>IF($A171="","",IF(ISNUMBER($J171),IF($E171="CU YD",ROUNDUP(L171*(1+$J171),1),ROUNDUP(L171*(1+$J171),0)),NA()))</f>
        <v/>
      </c>
      <c r="O171" s="46">
        <f>IF($A171="","",IF(ISNUMBER($F171),M171*$F171,NA()))</f>
        <v/>
      </c>
      <c r="P171" s="46">
        <f>IF($A171="","",IF(ISNUMBER($F171),N171*$F171,NA()))</f>
        <v/>
      </c>
      <c r="Q171" s="37" t="n"/>
    </row>
    <row r="172" ht="15" customHeight="1" s="26">
      <c r="A172" s="37" t="n"/>
      <c r="B172" s="37" t="n"/>
      <c r="C172" s="37" t="n"/>
      <c r="D172" s="37" t="n"/>
      <c r="E172" s="37" t="n"/>
      <c r="F172" s="40" t="n"/>
      <c r="G172" s="41" t="n"/>
      <c r="H172" s="42" t="n"/>
      <c r="I172" s="41" t="n"/>
      <c r="J172" s="43" t="n"/>
      <c r="K172" s="44">
        <f>IF($A172="","",IF(INDEX(Takeoff_In!$D$2:$D$300,MATCH($A172,Takeoff_In!$A$2:$A$300,0))="",NA(),INDEX(Takeoff_In!$D$2:$D$300,MATCH($A172,Takeoff_In!$A$2:$A$300,0))))</f>
        <v/>
      </c>
      <c r="L172" s="44">
        <f>IF($A172="","",IF(INDEX(Takeoff_In!$E$2:$E$300,MATCH($A172,Takeoff_In!$A$2:$A$300,0))="",NA(),INDEX(Takeoff_In!$E$2:$E$300,MATCH($A172,Takeoff_In!$A$2:$A$300,0))))</f>
        <v/>
      </c>
      <c r="M172" s="45">
        <f>IF($A172="","",IF(ISNUMBER($J172),IF($E172="CU YD",ROUNDUP(K172*(1+$J172),1),ROUNDUP(K172*(1+$J172),0)),NA()))</f>
        <v/>
      </c>
      <c r="N172" s="45">
        <f>IF($A172="","",IF(ISNUMBER($J172),IF($E172="CU YD",ROUNDUP(L172*(1+$J172),1),ROUNDUP(L172*(1+$J172),0)),NA()))</f>
        <v/>
      </c>
      <c r="O172" s="46">
        <f>IF($A172="","",IF(ISNUMBER($F172),M172*$F172,NA()))</f>
        <v/>
      </c>
      <c r="P172" s="46">
        <f>IF($A172="","",IF(ISNUMBER($F172),N172*$F172,NA()))</f>
        <v/>
      </c>
      <c r="Q172" s="37" t="n"/>
    </row>
    <row r="173" ht="15" customHeight="1" s="26">
      <c r="A173" s="37" t="n"/>
      <c r="B173" s="37" t="n"/>
      <c r="C173" s="37" t="n"/>
      <c r="D173" s="37" t="n"/>
      <c r="E173" s="37" t="n"/>
      <c r="F173" s="40" t="n"/>
      <c r="G173" s="41" t="n"/>
      <c r="H173" s="42" t="n"/>
      <c r="I173" s="41" t="n"/>
      <c r="J173" s="43" t="n"/>
      <c r="K173" s="44">
        <f>IF($A173="","",IF(INDEX(Takeoff_In!$D$2:$D$300,MATCH($A173,Takeoff_In!$A$2:$A$300,0))="",NA(),INDEX(Takeoff_In!$D$2:$D$300,MATCH($A173,Takeoff_In!$A$2:$A$300,0))))</f>
        <v/>
      </c>
      <c r="L173" s="44">
        <f>IF($A173="","",IF(INDEX(Takeoff_In!$E$2:$E$300,MATCH($A173,Takeoff_In!$A$2:$A$300,0))="",NA(),INDEX(Takeoff_In!$E$2:$E$300,MATCH($A173,Takeoff_In!$A$2:$A$300,0))))</f>
        <v/>
      </c>
      <c r="M173" s="45">
        <f>IF($A173="","",IF(ISNUMBER($J173),IF($E173="CU YD",ROUNDUP(K173*(1+$J173),1),ROUNDUP(K173*(1+$J173),0)),NA()))</f>
        <v/>
      </c>
      <c r="N173" s="45">
        <f>IF($A173="","",IF(ISNUMBER($J173),IF($E173="CU YD",ROUNDUP(L173*(1+$J173),1),ROUNDUP(L173*(1+$J173),0)),NA()))</f>
        <v/>
      </c>
      <c r="O173" s="46">
        <f>IF($A173="","",IF(ISNUMBER($F173),M173*$F173,NA()))</f>
        <v/>
      </c>
      <c r="P173" s="46">
        <f>IF($A173="","",IF(ISNUMBER($F173),N173*$F173,NA()))</f>
        <v/>
      </c>
      <c r="Q173" s="37" t="n"/>
    </row>
    <row r="174" ht="15" customHeight="1" s="26">
      <c r="A174" s="37" t="n"/>
      <c r="B174" s="37" t="n"/>
      <c r="C174" s="37" t="n"/>
      <c r="D174" s="37" t="n"/>
      <c r="E174" s="37" t="n"/>
      <c r="F174" s="40" t="n"/>
      <c r="G174" s="41" t="n"/>
      <c r="H174" s="42" t="n"/>
      <c r="I174" s="41" t="n"/>
      <c r="J174" s="43" t="n"/>
      <c r="K174" s="44">
        <f>IF($A174="","",IF(INDEX(Takeoff_In!$D$2:$D$300,MATCH($A174,Takeoff_In!$A$2:$A$300,0))="",NA(),INDEX(Takeoff_In!$D$2:$D$300,MATCH($A174,Takeoff_In!$A$2:$A$300,0))))</f>
        <v/>
      </c>
      <c r="L174" s="44">
        <f>IF($A174="","",IF(INDEX(Takeoff_In!$E$2:$E$300,MATCH($A174,Takeoff_In!$A$2:$A$300,0))="",NA(),INDEX(Takeoff_In!$E$2:$E$300,MATCH($A174,Takeoff_In!$A$2:$A$300,0))))</f>
        <v/>
      </c>
      <c r="M174" s="45">
        <f>IF($A174="","",IF(ISNUMBER($J174),IF($E174="CU YD",ROUNDUP(K174*(1+$J174),1),ROUNDUP(K174*(1+$J174),0)),NA()))</f>
        <v/>
      </c>
      <c r="N174" s="45">
        <f>IF($A174="","",IF(ISNUMBER($J174),IF($E174="CU YD",ROUNDUP(L174*(1+$J174),1),ROUNDUP(L174*(1+$J174),0)),NA()))</f>
        <v/>
      </c>
      <c r="O174" s="46">
        <f>IF($A174="","",IF(ISNUMBER($F174),M174*$F174,NA()))</f>
        <v/>
      </c>
      <c r="P174" s="46">
        <f>IF($A174="","",IF(ISNUMBER($F174),N174*$F174,NA()))</f>
        <v/>
      </c>
      <c r="Q174" s="37" t="n"/>
    </row>
    <row r="175" ht="15" customHeight="1" s="26">
      <c r="A175" s="37" t="n"/>
      <c r="B175" s="37" t="n"/>
      <c r="C175" s="37" t="n"/>
      <c r="D175" s="37" t="n"/>
      <c r="E175" s="37" t="n"/>
      <c r="F175" s="40" t="n"/>
      <c r="G175" s="41" t="n"/>
      <c r="H175" s="42" t="n"/>
      <c r="I175" s="41" t="n"/>
      <c r="J175" s="43" t="n"/>
      <c r="K175" s="44">
        <f>IF($A175="","",IF(INDEX(Takeoff_In!$D$2:$D$300,MATCH($A175,Takeoff_In!$A$2:$A$300,0))="",NA(),INDEX(Takeoff_In!$D$2:$D$300,MATCH($A175,Takeoff_In!$A$2:$A$300,0))))</f>
        <v/>
      </c>
      <c r="L175" s="44">
        <f>IF($A175="","",IF(INDEX(Takeoff_In!$E$2:$E$300,MATCH($A175,Takeoff_In!$A$2:$A$300,0))="",NA(),INDEX(Takeoff_In!$E$2:$E$300,MATCH($A175,Takeoff_In!$A$2:$A$300,0))))</f>
        <v/>
      </c>
      <c r="M175" s="45">
        <f>IF($A175="","",IF(ISNUMBER($J175),IF($E175="CU YD",ROUNDUP(K175*(1+$J175),1),ROUNDUP(K175*(1+$J175),0)),NA()))</f>
        <v/>
      </c>
      <c r="N175" s="45">
        <f>IF($A175="","",IF(ISNUMBER($J175),IF($E175="CU YD",ROUNDUP(L175*(1+$J175),1),ROUNDUP(L175*(1+$J175),0)),NA()))</f>
        <v/>
      </c>
      <c r="O175" s="46">
        <f>IF($A175="","",IF(ISNUMBER($F175),M175*$F175,NA()))</f>
        <v/>
      </c>
      <c r="P175" s="46">
        <f>IF($A175="","",IF(ISNUMBER($F175),N175*$F175,NA()))</f>
        <v/>
      </c>
      <c r="Q175" s="37" t="n"/>
    </row>
    <row r="176" ht="15" customHeight="1" s="26">
      <c r="A176" s="37" t="n"/>
      <c r="B176" s="37" t="n"/>
      <c r="C176" s="37" t="n"/>
      <c r="D176" s="37" t="n"/>
      <c r="E176" s="37" t="n"/>
      <c r="F176" s="40" t="n"/>
      <c r="G176" s="41" t="n"/>
      <c r="H176" s="42" t="n"/>
      <c r="I176" s="41" t="n"/>
      <c r="J176" s="43" t="n"/>
      <c r="K176" s="44">
        <f>IF($A176="","",IF(INDEX(Takeoff_In!$D$2:$D$300,MATCH($A176,Takeoff_In!$A$2:$A$300,0))="",NA(),INDEX(Takeoff_In!$D$2:$D$300,MATCH($A176,Takeoff_In!$A$2:$A$300,0))))</f>
        <v/>
      </c>
      <c r="L176" s="44">
        <f>IF($A176="","",IF(INDEX(Takeoff_In!$E$2:$E$300,MATCH($A176,Takeoff_In!$A$2:$A$300,0))="",NA(),INDEX(Takeoff_In!$E$2:$E$300,MATCH($A176,Takeoff_In!$A$2:$A$300,0))))</f>
        <v/>
      </c>
      <c r="M176" s="45">
        <f>IF($A176="","",IF(ISNUMBER($J176),IF($E176="CU YD",ROUNDUP(K176*(1+$J176),1),ROUNDUP(K176*(1+$J176),0)),NA()))</f>
        <v/>
      </c>
      <c r="N176" s="45">
        <f>IF($A176="","",IF(ISNUMBER($J176),IF($E176="CU YD",ROUNDUP(L176*(1+$J176),1),ROUNDUP(L176*(1+$J176),0)),NA()))</f>
        <v/>
      </c>
      <c r="O176" s="46">
        <f>IF($A176="","",IF(ISNUMBER($F176),M176*$F176,NA()))</f>
        <v/>
      </c>
      <c r="P176" s="46">
        <f>IF($A176="","",IF(ISNUMBER($F176),N176*$F176,NA()))</f>
        <v/>
      </c>
      <c r="Q176" s="37" t="n"/>
    </row>
    <row r="177" ht="15" customHeight="1" s="26">
      <c r="A177" s="37" t="n"/>
      <c r="B177" s="37" t="n"/>
      <c r="C177" s="37" t="n"/>
      <c r="D177" s="37" t="n"/>
      <c r="E177" s="37" t="n"/>
      <c r="F177" s="40" t="n"/>
      <c r="G177" s="41" t="n"/>
      <c r="H177" s="42" t="n"/>
      <c r="I177" s="41" t="n"/>
      <c r="J177" s="43" t="n"/>
      <c r="K177" s="44">
        <f>IF($A177="","",IF(INDEX(Takeoff_In!$D$2:$D$300,MATCH($A177,Takeoff_In!$A$2:$A$300,0))="",NA(),INDEX(Takeoff_In!$D$2:$D$300,MATCH($A177,Takeoff_In!$A$2:$A$300,0))))</f>
        <v/>
      </c>
      <c r="L177" s="44">
        <f>IF($A177="","",IF(INDEX(Takeoff_In!$E$2:$E$300,MATCH($A177,Takeoff_In!$A$2:$A$300,0))="",NA(),INDEX(Takeoff_In!$E$2:$E$300,MATCH($A177,Takeoff_In!$A$2:$A$300,0))))</f>
        <v/>
      </c>
      <c r="M177" s="45">
        <f>IF($A177="","",IF(ISNUMBER($J177),IF($E177="CU YD",ROUNDUP(K177*(1+$J177),1),ROUNDUP(K177*(1+$J177),0)),NA()))</f>
        <v/>
      </c>
      <c r="N177" s="45">
        <f>IF($A177="","",IF(ISNUMBER($J177),IF($E177="CU YD",ROUNDUP(L177*(1+$J177),1),ROUNDUP(L177*(1+$J177),0)),NA()))</f>
        <v/>
      </c>
      <c r="O177" s="46">
        <f>IF($A177="","",IF(ISNUMBER($F177),M177*$F177,NA()))</f>
        <v/>
      </c>
      <c r="P177" s="46">
        <f>IF($A177="","",IF(ISNUMBER($F177),N177*$F177,NA()))</f>
        <v/>
      </c>
      <c r="Q177" s="37" t="n"/>
    </row>
    <row r="178" ht="15" customHeight="1" s="26">
      <c r="A178" s="37" t="n"/>
      <c r="B178" s="37" t="n"/>
      <c r="C178" s="37" t="n"/>
      <c r="D178" s="37" t="n"/>
      <c r="E178" s="37" t="n"/>
      <c r="F178" s="40" t="n"/>
      <c r="G178" s="41" t="n"/>
      <c r="H178" s="42" t="n"/>
      <c r="I178" s="41" t="n"/>
      <c r="J178" s="43" t="n"/>
      <c r="K178" s="44">
        <f>IF($A178="","",IF(INDEX(Takeoff_In!$D$2:$D$300,MATCH($A178,Takeoff_In!$A$2:$A$300,0))="",NA(),INDEX(Takeoff_In!$D$2:$D$300,MATCH($A178,Takeoff_In!$A$2:$A$300,0))))</f>
        <v/>
      </c>
      <c r="L178" s="44">
        <f>IF($A178="","",IF(INDEX(Takeoff_In!$E$2:$E$300,MATCH($A178,Takeoff_In!$A$2:$A$300,0))="",NA(),INDEX(Takeoff_In!$E$2:$E$300,MATCH($A178,Takeoff_In!$A$2:$A$300,0))))</f>
        <v/>
      </c>
      <c r="M178" s="45">
        <f>IF($A178="","",IF(ISNUMBER($J178),IF($E178="CU YD",ROUNDUP(K178*(1+$J178),1),ROUNDUP(K178*(1+$J178),0)),NA()))</f>
        <v/>
      </c>
      <c r="N178" s="45">
        <f>IF($A178="","",IF(ISNUMBER($J178),IF($E178="CU YD",ROUNDUP(L178*(1+$J178),1),ROUNDUP(L178*(1+$J178),0)),NA()))</f>
        <v/>
      </c>
      <c r="O178" s="46">
        <f>IF($A178="","",IF(ISNUMBER($F178),M178*$F178,NA()))</f>
        <v/>
      </c>
      <c r="P178" s="46">
        <f>IF($A178="","",IF(ISNUMBER($F178),N178*$F178,NA()))</f>
        <v/>
      </c>
      <c r="Q178" s="37" t="n"/>
    </row>
    <row r="179" ht="15" customHeight="1" s="26">
      <c r="A179" s="37" t="n"/>
      <c r="B179" s="37" t="n"/>
      <c r="C179" s="37" t="n"/>
      <c r="D179" s="37" t="n"/>
      <c r="E179" s="37" t="n"/>
      <c r="F179" s="40" t="n"/>
      <c r="G179" s="41" t="n"/>
      <c r="H179" s="42" t="n"/>
      <c r="I179" s="41" t="n"/>
      <c r="J179" s="43" t="n"/>
      <c r="K179" s="44">
        <f>IF($A179="","",IF(INDEX(Takeoff_In!$D$2:$D$300,MATCH($A179,Takeoff_In!$A$2:$A$300,0))="",NA(),INDEX(Takeoff_In!$D$2:$D$300,MATCH($A179,Takeoff_In!$A$2:$A$300,0))))</f>
        <v/>
      </c>
      <c r="L179" s="44">
        <f>IF($A179="","",IF(INDEX(Takeoff_In!$E$2:$E$300,MATCH($A179,Takeoff_In!$A$2:$A$300,0))="",NA(),INDEX(Takeoff_In!$E$2:$E$300,MATCH($A179,Takeoff_In!$A$2:$A$300,0))))</f>
        <v/>
      </c>
      <c r="M179" s="45">
        <f>IF($A179="","",IF(ISNUMBER($J179),IF($E179="CU YD",ROUNDUP(K179*(1+$J179),1),ROUNDUP(K179*(1+$J179),0)),NA()))</f>
        <v/>
      </c>
      <c r="N179" s="45">
        <f>IF($A179="","",IF(ISNUMBER($J179),IF($E179="CU YD",ROUNDUP(L179*(1+$J179),1),ROUNDUP(L179*(1+$J179),0)),NA()))</f>
        <v/>
      </c>
      <c r="O179" s="46">
        <f>IF($A179="","",IF(ISNUMBER($F179),M179*$F179,NA()))</f>
        <v/>
      </c>
      <c r="P179" s="46">
        <f>IF($A179="","",IF(ISNUMBER($F179),N179*$F179,NA()))</f>
        <v/>
      </c>
      <c r="Q179" s="37" t="n"/>
    </row>
    <row r="180" ht="15" customHeight="1" s="26">
      <c r="A180" s="37" t="n"/>
      <c r="B180" s="37" t="n"/>
      <c r="C180" s="37" t="n"/>
      <c r="D180" s="37" t="n"/>
      <c r="E180" s="37" t="n"/>
      <c r="F180" s="40" t="n"/>
      <c r="G180" s="41" t="n"/>
      <c r="H180" s="42" t="n"/>
      <c r="I180" s="41" t="n"/>
      <c r="J180" s="43" t="n"/>
      <c r="K180" s="44">
        <f>IF($A180="","",IF(INDEX(Takeoff_In!$D$2:$D$300,MATCH($A180,Takeoff_In!$A$2:$A$300,0))="",NA(),INDEX(Takeoff_In!$D$2:$D$300,MATCH($A180,Takeoff_In!$A$2:$A$300,0))))</f>
        <v/>
      </c>
      <c r="L180" s="44">
        <f>IF($A180="","",IF(INDEX(Takeoff_In!$E$2:$E$300,MATCH($A180,Takeoff_In!$A$2:$A$300,0))="",NA(),INDEX(Takeoff_In!$E$2:$E$300,MATCH($A180,Takeoff_In!$A$2:$A$300,0))))</f>
        <v/>
      </c>
      <c r="M180" s="45">
        <f>IF($A180="","",IF(ISNUMBER($J180),IF($E180="CU YD",ROUNDUP(K180*(1+$J180),1),ROUNDUP(K180*(1+$J180),0)),NA()))</f>
        <v/>
      </c>
      <c r="N180" s="45">
        <f>IF($A180="","",IF(ISNUMBER($J180),IF($E180="CU YD",ROUNDUP(L180*(1+$J180),1),ROUNDUP(L180*(1+$J180),0)),NA()))</f>
        <v/>
      </c>
      <c r="O180" s="46">
        <f>IF($A180="","",IF(ISNUMBER($F180),M180*$F180,NA()))</f>
        <v/>
      </c>
      <c r="P180" s="46">
        <f>IF($A180="","",IF(ISNUMBER($F180),N180*$F180,NA()))</f>
        <v/>
      </c>
      <c r="Q180" s="37" t="n"/>
    </row>
    <row r="181" ht="15" customHeight="1" s="26">
      <c r="A181" s="37" t="n"/>
      <c r="B181" s="37" t="n"/>
      <c r="C181" s="37" t="n"/>
      <c r="D181" s="37" t="n"/>
      <c r="E181" s="37" t="n"/>
      <c r="F181" s="40" t="n"/>
      <c r="G181" s="41" t="n"/>
      <c r="H181" s="42" t="n"/>
      <c r="I181" s="41" t="n"/>
      <c r="J181" s="43" t="n"/>
      <c r="K181" s="44">
        <f>IF($A181="","",IF(INDEX(Takeoff_In!$D$2:$D$300,MATCH($A181,Takeoff_In!$A$2:$A$300,0))="",NA(),INDEX(Takeoff_In!$D$2:$D$300,MATCH($A181,Takeoff_In!$A$2:$A$300,0))))</f>
        <v/>
      </c>
      <c r="L181" s="44">
        <f>IF($A181="","",IF(INDEX(Takeoff_In!$E$2:$E$300,MATCH($A181,Takeoff_In!$A$2:$A$300,0))="",NA(),INDEX(Takeoff_In!$E$2:$E$300,MATCH($A181,Takeoff_In!$A$2:$A$300,0))))</f>
        <v/>
      </c>
      <c r="M181" s="45">
        <f>IF($A181="","",IF(ISNUMBER($J181),IF($E181="CU YD",ROUNDUP(K181*(1+$J181),1),ROUNDUP(K181*(1+$J181),0)),NA()))</f>
        <v/>
      </c>
      <c r="N181" s="45">
        <f>IF($A181="","",IF(ISNUMBER($J181),IF($E181="CU YD",ROUNDUP(L181*(1+$J181),1),ROUNDUP(L181*(1+$J181),0)),NA()))</f>
        <v/>
      </c>
      <c r="O181" s="46">
        <f>IF($A181="","",IF(ISNUMBER($F181),M181*$F181,NA()))</f>
        <v/>
      </c>
      <c r="P181" s="46">
        <f>IF($A181="","",IF(ISNUMBER($F181),N181*$F181,NA()))</f>
        <v/>
      </c>
      <c r="Q181" s="37" t="n"/>
    </row>
    <row r="182" ht="15" customHeight="1" s="26">
      <c r="A182" s="37" t="n"/>
      <c r="B182" s="37" t="n"/>
      <c r="C182" s="37" t="n"/>
      <c r="D182" s="37" t="n"/>
      <c r="E182" s="37" t="n"/>
      <c r="F182" s="40" t="n"/>
      <c r="G182" s="41" t="n"/>
      <c r="H182" s="42" t="n"/>
      <c r="I182" s="41" t="n"/>
      <c r="J182" s="43" t="n"/>
      <c r="K182" s="44">
        <f>IF($A182="","",IF(INDEX(Takeoff_In!$D$2:$D$300,MATCH($A182,Takeoff_In!$A$2:$A$300,0))="",NA(),INDEX(Takeoff_In!$D$2:$D$300,MATCH($A182,Takeoff_In!$A$2:$A$300,0))))</f>
        <v/>
      </c>
      <c r="L182" s="44">
        <f>IF($A182="","",IF(INDEX(Takeoff_In!$E$2:$E$300,MATCH($A182,Takeoff_In!$A$2:$A$300,0))="",NA(),INDEX(Takeoff_In!$E$2:$E$300,MATCH($A182,Takeoff_In!$A$2:$A$300,0))))</f>
        <v/>
      </c>
      <c r="M182" s="45">
        <f>IF($A182="","",IF(ISNUMBER($J182),IF($E182="CU YD",ROUNDUP(K182*(1+$J182),1),ROUNDUP(K182*(1+$J182),0)),NA()))</f>
        <v/>
      </c>
      <c r="N182" s="45">
        <f>IF($A182="","",IF(ISNUMBER($J182),IF($E182="CU YD",ROUNDUP(L182*(1+$J182),1),ROUNDUP(L182*(1+$J182),0)),NA()))</f>
        <v/>
      </c>
      <c r="O182" s="46">
        <f>IF($A182="","",IF(ISNUMBER($F182),M182*$F182,NA()))</f>
        <v/>
      </c>
      <c r="P182" s="46">
        <f>IF($A182="","",IF(ISNUMBER($F182),N182*$F182,NA()))</f>
        <v/>
      </c>
      <c r="Q182" s="37" t="n"/>
    </row>
    <row r="183" ht="15" customHeight="1" s="26">
      <c r="A183" s="37" t="n"/>
      <c r="B183" s="37" t="n"/>
      <c r="C183" s="37" t="n"/>
      <c r="D183" s="37" t="n"/>
      <c r="E183" s="37" t="n"/>
      <c r="F183" s="40" t="n"/>
      <c r="G183" s="41" t="n"/>
      <c r="H183" s="42" t="n"/>
      <c r="I183" s="41" t="n"/>
      <c r="J183" s="43" t="n"/>
      <c r="K183" s="44">
        <f>IF($A183="","",IF(INDEX(Takeoff_In!$D$2:$D$300,MATCH($A183,Takeoff_In!$A$2:$A$300,0))="",NA(),INDEX(Takeoff_In!$D$2:$D$300,MATCH($A183,Takeoff_In!$A$2:$A$300,0))))</f>
        <v/>
      </c>
      <c r="L183" s="44">
        <f>IF($A183="","",IF(INDEX(Takeoff_In!$E$2:$E$300,MATCH($A183,Takeoff_In!$A$2:$A$300,0))="",NA(),INDEX(Takeoff_In!$E$2:$E$300,MATCH($A183,Takeoff_In!$A$2:$A$300,0))))</f>
        <v/>
      </c>
      <c r="M183" s="45">
        <f>IF($A183="","",IF(ISNUMBER($J183),IF($E183="CU YD",ROUNDUP(K183*(1+$J183),1),ROUNDUP(K183*(1+$J183),0)),NA()))</f>
        <v/>
      </c>
      <c r="N183" s="45">
        <f>IF($A183="","",IF(ISNUMBER($J183),IF($E183="CU YD",ROUNDUP(L183*(1+$J183),1),ROUNDUP(L183*(1+$J183),0)),NA()))</f>
        <v/>
      </c>
      <c r="O183" s="46">
        <f>IF($A183="","",IF(ISNUMBER($F183),M183*$F183,NA()))</f>
        <v/>
      </c>
      <c r="P183" s="46">
        <f>IF($A183="","",IF(ISNUMBER($F183),N183*$F183,NA()))</f>
        <v/>
      </c>
      <c r="Q183" s="37" t="n"/>
    </row>
    <row r="184" ht="15" customHeight="1" s="26">
      <c r="A184" s="37" t="n"/>
      <c r="B184" s="37" t="n"/>
      <c r="C184" s="37" t="n"/>
      <c r="D184" s="37" t="n"/>
      <c r="E184" s="37" t="n"/>
      <c r="F184" s="40" t="n"/>
      <c r="G184" s="41" t="n"/>
      <c r="H184" s="42" t="n"/>
      <c r="I184" s="41" t="n"/>
      <c r="J184" s="43" t="n"/>
      <c r="K184" s="44">
        <f>IF($A184="","",IF(INDEX(Takeoff_In!$D$2:$D$300,MATCH($A184,Takeoff_In!$A$2:$A$300,0))="",NA(),INDEX(Takeoff_In!$D$2:$D$300,MATCH($A184,Takeoff_In!$A$2:$A$300,0))))</f>
        <v/>
      </c>
      <c r="L184" s="44">
        <f>IF($A184="","",IF(INDEX(Takeoff_In!$E$2:$E$300,MATCH($A184,Takeoff_In!$A$2:$A$300,0))="",NA(),INDEX(Takeoff_In!$E$2:$E$300,MATCH($A184,Takeoff_In!$A$2:$A$300,0))))</f>
        <v/>
      </c>
      <c r="M184" s="45">
        <f>IF($A184="","",IF(ISNUMBER($J184),IF($E184="CU YD",ROUNDUP(K184*(1+$J184),1),ROUNDUP(K184*(1+$J184),0)),NA()))</f>
        <v/>
      </c>
      <c r="N184" s="45">
        <f>IF($A184="","",IF(ISNUMBER($J184),IF($E184="CU YD",ROUNDUP(L184*(1+$J184),1),ROUNDUP(L184*(1+$J184),0)),NA()))</f>
        <v/>
      </c>
      <c r="O184" s="46">
        <f>IF($A184="","",IF(ISNUMBER($F184),M184*$F184,NA()))</f>
        <v/>
      </c>
      <c r="P184" s="46">
        <f>IF($A184="","",IF(ISNUMBER($F184),N184*$F184,NA()))</f>
        <v/>
      </c>
      <c r="Q184" s="37" t="n"/>
    </row>
    <row r="185" ht="15" customHeight="1" s="26">
      <c r="A185" s="37" t="n"/>
      <c r="B185" s="37" t="n"/>
      <c r="C185" s="37" t="n"/>
      <c r="D185" s="37" t="n"/>
      <c r="E185" s="37" t="n"/>
      <c r="F185" s="40" t="n"/>
      <c r="G185" s="41" t="n"/>
      <c r="H185" s="42" t="n"/>
      <c r="I185" s="41" t="n"/>
      <c r="J185" s="43" t="n"/>
      <c r="K185" s="44">
        <f>IF($A185="","",IF(INDEX(Takeoff_In!$D$2:$D$300,MATCH($A185,Takeoff_In!$A$2:$A$300,0))="",NA(),INDEX(Takeoff_In!$D$2:$D$300,MATCH($A185,Takeoff_In!$A$2:$A$300,0))))</f>
        <v/>
      </c>
      <c r="L185" s="44">
        <f>IF($A185="","",IF(INDEX(Takeoff_In!$E$2:$E$300,MATCH($A185,Takeoff_In!$A$2:$A$300,0))="",NA(),INDEX(Takeoff_In!$E$2:$E$300,MATCH($A185,Takeoff_In!$A$2:$A$300,0))))</f>
        <v/>
      </c>
      <c r="M185" s="45">
        <f>IF($A185="","",IF(ISNUMBER($J185),IF($E185="CU YD",ROUNDUP(K185*(1+$J185),1),ROUNDUP(K185*(1+$J185),0)),NA()))</f>
        <v/>
      </c>
      <c r="N185" s="45">
        <f>IF($A185="","",IF(ISNUMBER($J185),IF($E185="CU YD",ROUNDUP(L185*(1+$J185),1),ROUNDUP(L185*(1+$J185),0)),NA()))</f>
        <v/>
      </c>
      <c r="O185" s="46">
        <f>IF($A185="","",IF(ISNUMBER($F185),M185*$F185,NA()))</f>
        <v/>
      </c>
      <c r="P185" s="46">
        <f>IF($A185="","",IF(ISNUMBER($F185),N185*$F185,NA()))</f>
        <v/>
      </c>
      <c r="Q185" s="37" t="n"/>
    </row>
    <row r="186" ht="15" customHeight="1" s="26">
      <c r="A186" s="37" t="n"/>
      <c r="B186" s="37" t="n"/>
      <c r="C186" s="37" t="n"/>
      <c r="D186" s="37" t="n"/>
      <c r="E186" s="37" t="n"/>
      <c r="F186" s="40" t="n"/>
      <c r="G186" s="41" t="n"/>
      <c r="H186" s="42" t="n"/>
      <c r="I186" s="41" t="n"/>
      <c r="J186" s="43" t="n"/>
      <c r="K186" s="44">
        <f>IF($A186="","",IF(INDEX(Takeoff_In!$D$2:$D$300,MATCH($A186,Takeoff_In!$A$2:$A$300,0))="",NA(),INDEX(Takeoff_In!$D$2:$D$300,MATCH($A186,Takeoff_In!$A$2:$A$300,0))))</f>
        <v/>
      </c>
      <c r="L186" s="44">
        <f>IF($A186="","",IF(INDEX(Takeoff_In!$E$2:$E$300,MATCH($A186,Takeoff_In!$A$2:$A$300,0))="",NA(),INDEX(Takeoff_In!$E$2:$E$300,MATCH($A186,Takeoff_In!$A$2:$A$300,0))))</f>
        <v/>
      </c>
      <c r="M186" s="45">
        <f>IF($A186="","",IF(ISNUMBER($J186),IF($E186="CU YD",ROUNDUP(K186*(1+$J186),1),ROUNDUP(K186*(1+$J186),0)),NA()))</f>
        <v/>
      </c>
      <c r="N186" s="45">
        <f>IF($A186="","",IF(ISNUMBER($J186),IF($E186="CU YD",ROUNDUP(L186*(1+$J186),1),ROUNDUP(L186*(1+$J186),0)),NA()))</f>
        <v/>
      </c>
      <c r="O186" s="46">
        <f>IF($A186="","",IF(ISNUMBER($F186),M186*$F186,NA()))</f>
        <v/>
      </c>
      <c r="P186" s="46">
        <f>IF($A186="","",IF(ISNUMBER($F186),N186*$F186,NA()))</f>
        <v/>
      </c>
      <c r="Q186" s="37" t="n"/>
    </row>
    <row r="187" ht="15" customHeight="1" s="26">
      <c r="A187" s="37" t="n"/>
      <c r="B187" s="37" t="n"/>
      <c r="C187" s="37" t="n"/>
      <c r="D187" s="37" t="n"/>
      <c r="E187" s="37" t="n"/>
      <c r="F187" s="40" t="n"/>
      <c r="G187" s="41" t="n"/>
      <c r="H187" s="42" t="n"/>
      <c r="I187" s="41" t="n"/>
      <c r="J187" s="43" t="n"/>
      <c r="K187" s="44">
        <f>IF($A187="","",IF(INDEX(Takeoff_In!$D$2:$D$300,MATCH($A187,Takeoff_In!$A$2:$A$300,0))="",NA(),INDEX(Takeoff_In!$D$2:$D$300,MATCH($A187,Takeoff_In!$A$2:$A$300,0))))</f>
        <v/>
      </c>
      <c r="L187" s="44">
        <f>IF($A187="","",IF(INDEX(Takeoff_In!$E$2:$E$300,MATCH($A187,Takeoff_In!$A$2:$A$300,0))="",NA(),INDEX(Takeoff_In!$E$2:$E$300,MATCH($A187,Takeoff_In!$A$2:$A$300,0))))</f>
        <v/>
      </c>
      <c r="M187" s="45">
        <f>IF($A187="","",IF(ISNUMBER($J187),IF($E187="CU YD",ROUNDUP(K187*(1+$J187),1),ROUNDUP(K187*(1+$J187),0)),NA()))</f>
        <v/>
      </c>
      <c r="N187" s="45">
        <f>IF($A187="","",IF(ISNUMBER($J187),IF($E187="CU YD",ROUNDUP(L187*(1+$J187),1),ROUNDUP(L187*(1+$J187),0)),NA()))</f>
        <v/>
      </c>
      <c r="O187" s="46">
        <f>IF($A187="","",IF(ISNUMBER($F187),M187*$F187,NA()))</f>
        <v/>
      </c>
      <c r="P187" s="46">
        <f>IF($A187="","",IF(ISNUMBER($F187),N187*$F187,NA()))</f>
        <v/>
      </c>
      <c r="Q187" s="37" t="n"/>
    </row>
    <row r="188" ht="15" customHeight="1" s="26">
      <c r="A188" s="37" t="n"/>
      <c r="B188" s="37" t="n"/>
      <c r="C188" s="37" t="n"/>
      <c r="D188" s="37" t="n"/>
      <c r="E188" s="37" t="n"/>
      <c r="F188" s="40" t="n"/>
      <c r="G188" s="41" t="n"/>
      <c r="H188" s="42" t="n"/>
      <c r="I188" s="41" t="n"/>
      <c r="J188" s="43" t="n"/>
      <c r="K188" s="44">
        <f>IF($A188="","",IF(INDEX(Takeoff_In!$D$2:$D$300,MATCH($A188,Takeoff_In!$A$2:$A$300,0))="",NA(),INDEX(Takeoff_In!$D$2:$D$300,MATCH($A188,Takeoff_In!$A$2:$A$300,0))))</f>
        <v/>
      </c>
      <c r="L188" s="44">
        <f>IF($A188="","",IF(INDEX(Takeoff_In!$E$2:$E$300,MATCH($A188,Takeoff_In!$A$2:$A$300,0))="",NA(),INDEX(Takeoff_In!$E$2:$E$300,MATCH($A188,Takeoff_In!$A$2:$A$300,0))))</f>
        <v/>
      </c>
      <c r="M188" s="45">
        <f>IF($A188="","",IF(ISNUMBER($J188),IF($E188="CU YD",ROUNDUP(K188*(1+$J188),1),ROUNDUP(K188*(1+$J188),0)),NA()))</f>
        <v/>
      </c>
      <c r="N188" s="45">
        <f>IF($A188="","",IF(ISNUMBER($J188),IF($E188="CU YD",ROUNDUP(L188*(1+$J188),1),ROUNDUP(L188*(1+$J188),0)),NA()))</f>
        <v/>
      </c>
      <c r="O188" s="46">
        <f>IF($A188="","",IF(ISNUMBER($F188),M188*$F188,NA()))</f>
        <v/>
      </c>
      <c r="P188" s="46">
        <f>IF($A188="","",IF(ISNUMBER($F188),N188*$F188,NA()))</f>
        <v/>
      </c>
      <c r="Q188" s="37" t="n"/>
    </row>
    <row r="189" ht="15" customHeight="1" s="26">
      <c r="A189" s="37" t="n"/>
      <c r="B189" s="37" t="n"/>
      <c r="C189" s="37" t="n"/>
      <c r="D189" s="37" t="n"/>
      <c r="E189" s="37" t="n"/>
      <c r="F189" s="40" t="n"/>
      <c r="G189" s="41" t="n"/>
      <c r="H189" s="42" t="n"/>
      <c r="I189" s="41" t="n"/>
      <c r="J189" s="43" t="n"/>
      <c r="K189" s="44">
        <f>IF($A189="","",IF(INDEX(Takeoff_In!$D$2:$D$300,MATCH($A189,Takeoff_In!$A$2:$A$300,0))="",NA(),INDEX(Takeoff_In!$D$2:$D$300,MATCH($A189,Takeoff_In!$A$2:$A$300,0))))</f>
        <v/>
      </c>
      <c r="L189" s="44">
        <f>IF($A189="","",IF(INDEX(Takeoff_In!$E$2:$E$300,MATCH($A189,Takeoff_In!$A$2:$A$300,0))="",NA(),INDEX(Takeoff_In!$E$2:$E$300,MATCH($A189,Takeoff_In!$A$2:$A$300,0))))</f>
        <v/>
      </c>
      <c r="M189" s="45">
        <f>IF($A189="","",IF(ISNUMBER($J189),IF($E189="CU YD",ROUNDUP(K189*(1+$J189),1),ROUNDUP(K189*(1+$J189),0)),NA()))</f>
        <v/>
      </c>
      <c r="N189" s="45">
        <f>IF($A189="","",IF(ISNUMBER($J189),IF($E189="CU YD",ROUNDUP(L189*(1+$J189),1),ROUNDUP(L189*(1+$J189),0)),NA()))</f>
        <v/>
      </c>
      <c r="O189" s="46">
        <f>IF($A189="","",IF(ISNUMBER($F189),M189*$F189,NA()))</f>
        <v/>
      </c>
      <c r="P189" s="46">
        <f>IF($A189="","",IF(ISNUMBER($F189),N189*$F189,NA()))</f>
        <v/>
      </c>
      <c r="Q189" s="37" t="n"/>
    </row>
    <row r="190" ht="15" customHeight="1" s="26">
      <c r="A190" s="37" t="n"/>
      <c r="B190" s="37" t="n"/>
      <c r="C190" s="37" t="n"/>
      <c r="D190" s="37" t="n"/>
      <c r="E190" s="37" t="n"/>
      <c r="F190" s="40" t="n"/>
      <c r="G190" s="41" t="n"/>
      <c r="H190" s="42" t="n"/>
      <c r="I190" s="41" t="n"/>
      <c r="J190" s="43" t="n"/>
      <c r="K190" s="44">
        <f>IF($A190="","",IF(INDEX(Takeoff_In!$D$2:$D$300,MATCH($A190,Takeoff_In!$A$2:$A$300,0))="",NA(),INDEX(Takeoff_In!$D$2:$D$300,MATCH($A190,Takeoff_In!$A$2:$A$300,0))))</f>
        <v/>
      </c>
      <c r="L190" s="44">
        <f>IF($A190="","",IF(INDEX(Takeoff_In!$E$2:$E$300,MATCH($A190,Takeoff_In!$A$2:$A$300,0))="",NA(),INDEX(Takeoff_In!$E$2:$E$300,MATCH($A190,Takeoff_In!$A$2:$A$300,0))))</f>
        <v/>
      </c>
      <c r="M190" s="45">
        <f>IF($A190="","",IF(ISNUMBER($J190),IF($E190="CU YD",ROUNDUP(K190*(1+$J190),1),ROUNDUP(K190*(1+$J190),0)),NA()))</f>
        <v/>
      </c>
      <c r="N190" s="45">
        <f>IF($A190="","",IF(ISNUMBER($J190),IF($E190="CU YD",ROUNDUP(L190*(1+$J190),1),ROUNDUP(L190*(1+$J190),0)),NA()))</f>
        <v/>
      </c>
      <c r="O190" s="46">
        <f>IF($A190="","",IF(ISNUMBER($F190),M190*$F190,NA()))</f>
        <v/>
      </c>
      <c r="P190" s="46">
        <f>IF($A190="","",IF(ISNUMBER($F190),N190*$F190,NA()))</f>
        <v/>
      </c>
      <c r="Q190" s="37" t="n"/>
    </row>
    <row r="191" ht="15" customHeight="1" s="26">
      <c r="A191" s="37" t="n"/>
      <c r="B191" s="37" t="n"/>
      <c r="C191" s="37" t="n"/>
      <c r="D191" s="37" t="n"/>
      <c r="E191" s="37" t="n"/>
      <c r="F191" s="40" t="n"/>
      <c r="G191" s="41" t="n"/>
      <c r="H191" s="42" t="n"/>
      <c r="I191" s="41" t="n"/>
      <c r="J191" s="43" t="n"/>
      <c r="K191" s="44">
        <f>IF($A191="","",IF(INDEX(Takeoff_In!$D$2:$D$300,MATCH($A191,Takeoff_In!$A$2:$A$300,0))="",NA(),INDEX(Takeoff_In!$D$2:$D$300,MATCH($A191,Takeoff_In!$A$2:$A$300,0))))</f>
        <v/>
      </c>
      <c r="L191" s="44">
        <f>IF($A191="","",IF(INDEX(Takeoff_In!$E$2:$E$300,MATCH($A191,Takeoff_In!$A$2:$A$300,0))="",NA(),INDEX(Takeoff_In!$E$2:$E$300,MATCH($A191,Takeoff_In!$A$2:$A$300,0))))</f>
        <v/>
      </c>
      <c r="M191" s="45">
        <f>IF($A191="","",IF(ISNUMBER($J191),IF($E191="CU YD",ROUNDUP(K191*(1+$J191),1),ROUNDUP(K191*(1+$J191),0)),NA()))</f>
        <v/>
      </c>
      <c r="N191" s="45">
        <f>IF($A191="","",IF(ISNUMBER($J191),IF($E191="CU YD",ROUNDUP(L191*(1+$J191),1),ROUNDUP(L191*(1+$J191),0)),NA()))</f>
        <v/>
      </c>
      <c r="O191" s="46">
        <f>IF($A191="","",IF(ISNUMBER($F191),M191*$F191,NA()))</f>
        <v/>
      </c>
      <c r="P191" s="46">
        <f>IF($A191="","",IF(ISNUMBER($F191),N191*$F191,NA()))</f>
        <v/>
      </c>
      <c r="Q191" s="37" t="n"/>
    </row>
    <row r="192" ht="15" customHeight="1" s="26">
      <c r="A192" s="37" t="n"/>
      <c r="B192" s="37" t="n"/>
      <c r="C192" s="37" t="n"/>
      <c r="D192" s="37" t="n"/>
      <c r="E192" s="37" t="n"/>
      <c r="F192" s="40" t="n"/>
      <c r="G192" s="41" t="n"/>
      <c r="H192" s="42" t="n"/>
      <c r="I192" s="41" t="n"/>
      <c r="J192" s="43" t="n"/>
      <c r="K192" s="44">
        <f>IF($A192="","",IF(INDEX(Takeoff_In!$D$2:$D$300,MATCH($A192,Takeoff_In!$A$2:$A$300,0))="",NA(),INDEX(Takeoff_In!$D$2:$D$300,MATCH($A192,Takeoff_In!$A$2:$A$300,0))))</f>
        <v/>
      </c>
      <c r="L192" s="44">
        <f>IF($A192="","",IF(INDEX(Takeoff_In!$E$2:$E$300,MATCH($A192,Takeoff_In!$A$2:$A$300,0))="",NA(),INDEX(Takeoff_In!$E$2:$E$300,MATCH($A192,Takeoff_In!$A$2:$A$300,0))))</f>
        <v/>
      </c>
      <c r="M192" s="45">
        <f>IF($A192="","",IF(ISNUMBER($J192),IF($E192="CU YD",ROUNDUP(K192*(1+$J192),1),ROUNDUP(K192*(1+$J192),0)),NA()))</f>
        <v/>
      </c>
      <c r="N192" s="45">
        <f>IF($A192="","",IF(ISNUMBER($J192),IF($E192="CU YD",ROUNDUP(L192*(1+$J192),1),ROUNDUP(L192*(1+$J192),0)),NA()))</f>
        <v/>
      </c>
      <c r="O192" s="46">
        <f>IF($A192="","",IF(ISNUMBER($F192),M192*$F192,NA()))</f>
        <v/>
      </c>
      <c r="P192" s="46">
        <f>IF($A192="","",IF(ISNUMBER($F192),N192*$F192,NA()))</f>
        <v/>
      </c>
      <c r="Q192" s="37" t="n"/>
    </row>
    <row r="193" ht="15" customHeight="1" s="26">
      <c r="A193" s="37" t="n"/>
      <c r="B193" s="37" t="n"/>
      <c r="C193" s="37" t="n"/>
      <c r="D193" s="37" t="n"/>
      <c r="E193" s="37" t="n"/>
      <c r="F193" s="40" t="n"/>
      <c r="G193" s="41" t="n"/>
      <c r="H193" s="42" t="n"/>
      <c r="I193" s="41" t="n"/>
      <c r="J193" s="43" t="n"/>
      <c r="K193" s="44">
        <f>IF($A193="","",IF(INDEX(Takeoff_In!$D$2:$D$300,MATCH($A193,Takeoff_In!$A$2:$A$300,0))="",NA(),INDEX(Takeoff_In!$D$2:$D$300,MATCH($A193,Takeoff_In!$A$2:$A$300,0))))</f>
        <v/>
      </c>
      <c r="L193" s="44">
        <f>IF($A193="","",IF(INDEX(Takeoff_In!$E$2:$E$300,MATCH($A193,Takeoff_In!$A$2:$A$300,0))="",NA(),INDEX(Takeoff_In!$E$2:$E$300,MATCH($A193,Takeoff_In!$A$2:$A$300,0))))</f>
        <v/>
      </c>
      <c r="M193" s="45">
        <f>IF($A193="","",IF(ISNUMBER($J193),IF($E193="CU YD",ROUNDUP(K193*(1+$J193),1),ROUNDUP(K193*(1+$J193),0)),NA()))</f>
        <v/>
      </c>
      <c r="N193" s="45">
        <f>IF($A193="","",IF(ISNUMBER($J193),IF($E193="CU YD",ROUNDUP(L193*(1+$J193),1),ROUNDUP(L193*(1+$J193),0)),NA()))</f>
        <v/>
      </c>
      <c r="O193" s="46">
        <f>IF($A193="","",IF(ISNUMBER($F193),M193*$F193,NA()))</f>
        <v/>
      </c>
      <c r="P193" s="46">
        <f>IF($A193="","",IF(ISNUMBER($F193),N193*$F193,NA()))</f>
        <v/>
      </c>
      <c r="Q193" s="37" t="n"/>
    </row>
    <row r="194" ht="15" customHeight="1" s="26">
      <c r="A194" s="37" t="n"/>
      <c r="B194" s="37" t="n"/>
      <c r="C194" s="37" t="n"/>
      <c r="D194" s="37" t="n"/>
      <c r="E194" s="37" t="n"/>
      <c r="F194" s="40" t="n"/>
      <c r="G194" s="41" t="n"/>
      <c r="H194" s="42" t="n"/>
      <c r="I194" s="41" t="n"/>
      <c r="J194" s="43" t="n"/>
      <c r="K194" s="44">
        <f>IF($A194="","",IF(INDEX(Takeoff_In!$D$2:$D$300,MATCH($A194,Takeoff_In!$A$2:$A$300,0))="",NA(),INDEX(Takeoff_In!$D$2:$D$300,MATCH($A194,Takeoff_In!$A$2:$A$300,0))))</f>
        <v/>
      </c>
      <c r="L194" s="44">
        <f>IF($A194="","",IF(INDEX(Takeoff_In!$E$2:$E$300,MATCH($A194,Takeoff_In!$A$2:$A$300,0))="",NA(),INDEX(Takeoff_In!$E$2:$E$300,MATCH($A194,Takeoff_In!$A$2:$A$300,0))))</f>
        <v/>
      </c>
      <c r="M194" s="45">
        <f>IF($A194="","",IF(ISNUMBER($J194),IF($E194="CU YD",ROUNDUP(K194*(1+$J194),1),ROUNDUP(K194*(1+$J194),0)),NA()))</f>
        <v/>
      </c>
      <c r="N194" s="45">
        <f>IF($A194="","",IF(ISNUMBER($J194),IF($E194="CU YD",ROUNDUP(L194*(1+$J194),1),ROUNDUP(L194*(1+$J194),0)),NA()))</f>
        <v/>
      </c>
      <c r="O194" s="46">
        <f>IF($A194="","",IF(ISNUMBER($F194),M194*$F194,NA()))</f>
        <v/>
      </c>
      <c r="P194" s="46">
        <f>IF($A194="","",IF(ISNUMBER($F194),N194*$F194,NA()))</f>
        <v/>
      </c>
      <c r="Q194" s="37" t="n"/>
    </row>
    <row r="195" ht="15" customHeight="1" s="26">
      <c r="A195" s="37" t="n"/>
      <c r="B195" s="37" t="n"/>
      <c r="C195" s="37" t="n"/>
      <c r="D195" s="37" t="n"/>
      <c r="E195" s="37" t="n"/>
      <c r="F195" s="40" t="n"/>
      <c r="G195" s="41" t="n"/>
      <c r="H195" s="42" t="n"/>
      <c r="I195" s="41" t="n"/>
      <c r="J195" s="43" t="n"/>
      <c r="K195" s="44">
        <f>IF($A195="","",IF(INDEX(Takeoff_In!$D$2:$D$300,MATCH($A195,Takeoff_In!$A$2:$A$300,0))="",NA(),INDEX(Takeoff_In!$D$2:$D$300,MATCH($A195,Takeoff_In!$A$2:$A$300,0))))</f>
        <v/>
      </c>
      <c r="L195" s="44">
        <f>IF($A195="","",IF(INDEX(Takeoff_In!$E$2:$E$300,MATCH($A195,Takeoff_In!$A$2:$A$300,0))="",NA(),INDEX(Takeoff_In!$E$2:$E$300,MATCH($A195,Takeoff_In!$A$2:$A$300,0))))</f>
        <v/>
      </c>
      <c r="M195" s="45">
        <f>IF($A195="","",IF(ISNUMBER($J195),IF($E195="CU YD",ROUNDUP(K195*(1+$J195),1),ROUNDUP(K195*(1+$J195),0)),NA()))</f>
        <v/>
      </c>
      <c r="N195" s="45">
        <f>IF($A195="","",IF(ISNUMBER($J195),IF($E195="CU YD",ROUNDUP(L195*(1+$J195),1),ROUNDUP(L195*(1+$J195),0)),NA()))</f>
        <v/>
      </c>
      <c r="O195" s="46">
        <f>IF($A195="","",IF(ISNUMBER($F195),M195*$F195,NA()))</f>
        <v/>
      </c>
      <c r="P195" s="46">
        <f>IF($A195="","",IF(ISNUMBER($F195),N195*$F195,NA()))</f>
        <v/>
      </c>
      <c r="Q195" s="37" t="n"/>
    </row>
    <row r="196" ht="15" customHeight="1" s="26">
      <c r="A196" s="37" t="n"/>
      <c r="B196" s="37" t="n"/>
      <c r="C196" s="37" t="n"/>
      <c r="D196" s="37" t="n"/>
      <c r="E196" s="37" t="n"/>
      <c r="F196" s="40" t="n"/>
      <c r="G196" s="41" t="n"/>
      <c r="H196" s="42" t="n"/>
      <c r="I196" s="41" t="n"/>
      <c r="J196" s="43" t="n"/>
      <c r="K196" s="44">
        <f>IF($A196="","",IF(INDEX(Takeoff_In!$D$2:$D$300,MATCH($A196,Takeoff_In!$A$2:$A$300,0))="",NA(),INDEX(Takeoff_In!$D$2:$D$300,MATCH($A196,Takeoff_In!$A$2:$A$300,0))))</f>
        <v/>
      </c>
      <c r="L196" s="44">
        <f>IF($A196="","",IF(INDEX(Takeoff_In!$E$2:$E$300,MATCH($A196,Takeoff_In!$A$2:$A$300,0))="",NA(),INDEX(Takeoff_In!$E$2:$E$300,MATCH($A196,Takeoff_In!$A$2:$A$300,0))))</f>
        <v/>
      </c>
      <c r="M196" s="45">
        <f>IF($A196="","",IF(ISNUMBER($J196),IF($E196="CU YD",ROUNDUP(K196*(1+$J196),1),ROUNDUP(K196*(1+$J196),0)),NA()))</f>
        <v/>
      </c>
      <c r="N196" s="45">
        <f>IF($A196="","",IF(ISNUMBER($J196),IF($E196="CU YD",ROUNDUP(L196*(1+$J196),1),ROUNDUP(L196*(1+$J196),0)),NA()))</f>
        <v/>
      </c>
      <c r="O196" s="46">
        <f>IF($A196="","",IF(ISNUMBER($F196),M196*$F196,NA()))</f>
        <v/>
      </c>
      <c r="P196" s="46">
        <f>IF($A196="","",IF(ISNUMBER($F196),N196*$F196,NA()))</f>
        <v/>
      </c>
      <c r="Q196" s="37" t="n"/>
    </row>
    <row r="197" ht="15" customHeight="1" s="26">
      <c r="A197" s="37" t="n"/>
      <c r="B197" s="37" t="n"/>
      <c r="C197" s="37" t="n"/>
      <c r="D197" s="37" t="n"/>
      <c r="E197" s="37" t="n"/>
      <c r="F197" s="40" t="n"/>
      <c r="G197" s="41" t="n"/>
      <c r="H197" s="42" t="n"/>
      <c r="I197" s="41" t="n"/>
      <c r="J197" s="43" t="n"/>
      <c r="K197" s="44">
        <f>IF($A197="","",IF(INDEX(Takeoff_In!$D$2:$D$300,MATCH($A197,Takeoff_In!$A$2:$A$300,0))="",NA(),INDEX(Takeoff_In!$D$2:$D$300,MATCH($A197,Takeoff_In!$A$2:$A$300,0))))</f>
        <v/>
      </c>
      <c r="L197" s="44">
        <f>IF($A197="","",IF(INDEX(Takeoff_In!$E$2:$E$300,MATCH($A197,Takeoff_In!$A$2:$A$300,0))="",NA(),INDEX(Takeoff_In!$E$2:$E$300,MATCH($A197,Takeoff_In!$A$2:$A$300,0))))</f>
        <v/>
      </c>
      <c r="M197" s="45">
        <f>IF($A197="","",IF(ISNUMBER($J197),IF($E197="CU YD",ROUNDUP(K197*(1+$J197),1),ROUNDUP(K197*(1+$J197),0)),NA()))</f>
        <v/>
      </c>
      <c r="N197" s="45">
        <f>IF($A197="","",IF(ISNUMBER($J197),IF($E197="CU YD",ROUNDUP(L197*(1+$J197),1),ROUNDUP(L197*(1+$J197),0)),NA()))</f>
        <v/>
      </c>
      <c r="O197" s="46">
        <f>IF($A197="","",IF(ISNUMBER($F197),M197*$F197,NA()))</f>
        <v/>
      </c>
      <c r="P197" s="46">
        <f>IF($A197="","",IF(ISNUMBER($F197),N197*$F197,NA()))</f>
        <v/>
      </c>
      <c r="Q197" s="37" t="n"/>
    </row>
    <row r="198" ht="15" customHeight="1" s="26">
      <c r="A198" s="37" t="n"/>
      <c r="B198" s="37" t="n"/>
      <c r="C198" s="37" t="n"/>
      <c r="D198" s="37" t="n"/>
      <c r="E198" s="37" t="n"/>
      <c r="F198" s="40" t="n"/>
      <c r="G198" s="41" t="n"/>
      <c r="H198" s="42" t="n"/>
      <c r="I198" s="41" t="n"/>
      <c r="J198" s="43" t="n"/>
      <c r="K198" s="44">
        <f>IF($A198="","",IF(INDEX(Takeoff_In!$D$2:$D$300,MATCH($A198,Takeoff_In!$A$2:$A$300,0))="",NA(),INDEX(Takeoff_In!$D$2:$D$300,MATCH($A198,Takeoff_In!$A$2:$A$300,0))))</f>
        <v/>
      </c>
      <c r="L198" s="44">
        <f>IF($A198="","",IF(INDEX(Takeoff_In!$E$2:$E$300,MATCH($A198,Takeoff_In!$A$2:$A$300,0))="",NA(),INDEX(Takeoff_In!$E$2:$E$300,MATCH($A198,Takeoff_In!$A$2:$A$300,0))))</f>
        <v/>
      </c>
      <c r="M198" s="45">
        <f>IF($A198="","",IF(ISNUMBER($J198),IF($E198="CU YD",ROUNDUP(K198*(1+$J198),1),ROUNDUP(K198*(1+$J198),0)),NA()))</f>
        <v/>
      </c>
      <c r="N198" s="45">
        <f>IF($A198="","",IF(ISNUMBER($J198),IF($E198="CU YD",ROUNDUP(L198*(1+$J198),1),ROUNDUP(L198*(1+$J198),0)),NA()))</f>
        <v/>
      </c>
      <c r="O198" s="46">
        <f>IF($A198="","",IF(ISNUMBER($F198),M198*$F198,NA()))</f>
        <v/>
      </c>
      <c r="P198" s="46">
        <f>IF($A198="","",IF(ISNUMBER($F198),N198*$F198,NA()))</f>
        <v/>
      </c>
      <c r="Q198" s="37" t="n"/>
    </row>
    <row r="199" ht="15" customHeight="1" s="26">
      <c r="A199" s="37" t="n"/>
      <c r="B199" s="37" t="n"/>
      <c r="C199" s="37" t="n"/>
      <c r="D199" s="37" t="n"/>
      <c r="E199" s="37" t="n"/>
      <c r="F199" s="40" t="n"/>
      <c r="G199" s="41" t="n"/>
      <c r="H199" s="42" t="n"/>
      <c r="I199" s="41" t="n"/>
      <c r="J199" s="43" t="n"/>
      <c r="K199" s="44">
        <f>IF($A199="","",IF(INDEX(Takeoff_In!$D$2:$D$300,MATCH($A199,Takeoff_In!$A$2:$A$300,0))="",NA(),INDEX(Takeoff_In!$D$2:$D$300,MATCH($A199,Takeoff_In!$A$2:$A$300,0))))</f>
        <v/>
      </c>
      <c r="L199" s="44">
        <f>IF($A199="","",IF(INDEX(Takeoff_In!$E$2:$E$300,MATCH($A199,Takeoff_In!$A$2:$A$300,0))="",NA(),INDEX(Takeoff_In!$E$2:$E$300,MATCH($A199,Takeoff_In!$A$2:$A$300,0))))</f>
        <v/>
      </c>
      <c r="M199" s="45">
        <f>IF($A199="","",IF(ISNUMBER($J199),IF($E199="CU YD",ROUNDUP(K199*(1+$J199),1),ROUNDUP(K199*(1+$J199),0)),NA()))</f>
        <v/>
      </c>
      <c r="N199" s="45">
        <f>IF($A199="","",IF(ISNUMBER($J199),IF($E199="CU YD",ROUNDUP(L199*(1+$J199),1),ROUNDUP(L199*(1+$J199),0)),NA()))</f>
        <v/>
      </c>
      <c r="O199" s="46">
        <f>IF($A199="","",IF(ISNUMBER($F199),M199*$F199,NA()))</f>
        <v/>
      </c>
      <c r="P199" s="46">
        <f>IF($A199="","",IF(ISNUMBER($F199),N199*$F199,NA()))</f>
        <v/>
      </c>
      <c r="Q199" s="37" t="n"/>
    </row>
    <row r="200" ht="15" customHeight="1" s="26">
      <c r="A200" s="37" t="n"/>
      <c r="B200" s="37" t="n"/>
      <c r="C200" s="37" t="n"/>
      <c r="D200" s="37" t="n"/>
      <c r="E200" s="37" t="n"/>
      <c r="F200" s="40" t="n"/>
      <c r="G200" s="41" t="n"/>
      <c r="H200" s="42" t="n"/>
      <c r="I200" s="41" t="n"/>
      <c r="J200" s="43" t="n"/>
      <c r="K200" s="44">
        <f>IF($A200="","",IF(INDEX(Takeoff_In!$D$2:$D$300,MATCH($A200,Takeoff_In!$A$2:$A$300,0))="",NA(),INDEX(Takeoff_In!$D$2:$D$300,MATCH($A200,Takeoff_In!$A$2:$A$300,0))))</f>
        <v/>
      </c>
      <c r="L200" s="44">
        <f>IF($A200="","",IF(INDEX(Takeoff_In!$E$2:$E$300,MATCH($A200,Takeoff_In!$A$2:$A$300,0))="",NA(),INDEX(Takeoff_In!$E$2:$E$300,MATCH($A200,Takeoff_In!$A$2:$A$300,0))))</f>
        <v/>
      </c>
      <c r="M200" s="45">
        <f>IF($A200="","",IF(ISNUMBER($J200),IF($E200="CU YD",ROUNDUP(K200*(1+$J200),1),ROUNDUP(K200*(1+$J200),0)),NA()))</f>
        <v/>
      </c>
      <c r="N200" s="45">
        <f>IF($A200="","",IF(ISNUMBER($J200),IF($E200="CU YD",ROUNDUP(L200*(1+$J200),1),ROUNDUP(L200*(1+$J200),0)),NA()))</f>
        <v/>
      </c>
      <c r="O200" s="46">
        <f>IF($A200="","",IF(ISNUMBER($F200),M200*$F200,NA()))</f>
        <v/>
      </c>
      <c r="P200" s="46">
        <f>IF($A200="","",IF(ISNUMBER($F200),N200*$F200,NA()))</f>
        <v/>
      </c>
      <c r="Q200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5" min="1" max="1"/>
    <col width="26" customWidth="1" style="25" min="2" max="2"/>
    <col width="16" customWidth="1" style="25" min="3" max="3"/>
    <col width="24" customWidth="1" style="25" min="4" max="4"/>
    <col width="18" customWidth="1" style="25" min="5" max="5"/>
  </cols>
  <sheetData>
    <row r="1" ht="31.5" customHeight="1" s="26">
      <c r="A1" s="36" t="inlineStr">
        <is>
          <t>role_key</t>
        </is>
      </c>
      <c r="B1" s="36" t="inlineStr">
        <is>
          <t>role</t>
        </is>
      </c>
      <c r="C1" s="36" t="inlineStr">
        <is>
          <t>base_wage_per_hr</t>
        </is>
      </c>
      <c r="D1" s="36" t="inlineStr">
        <is>
          <t>burden_pct (taxes, comp, ins, benefits)</t>
        </is>
      </c>
      <c r="E1" s="36" t="inlineStr">
        <is>
          <t>loaded_rate_per_hr</t>
        </is>
      </c>
    </row>
    <row r="2" ht="15" customHeight="1" s="26">
      <c r="A2" s="25" t="inlineStr">
        <is>
          <t>R1</t>
        </is>
      </c>
      <c r="B2" s="25" t="inlineStr">
        <is>
          <t>Foreman</t>
        </is>
      </c>
      <c r="C2" s="40" t="n">
        <v>32</v>
      </c>
      <c r="D2" s="43" t="n">
        <v>0.35</v>
      </c>
      <c r="E2" s="47">
        <f>IF(AND(C2="",D2=""),0,IF(AND(ISNUMBER(C2),ISNUMBER(D2)),C2*(1+D2),NA()))</f>
        <v/>
      </c>
    </row>
    <row r="3" ht="15" customHeight="1" s="26">
      <c r="A3" s="25" t="inlineStr">
        <is>
          <t>R2</t>
        </is>
      </c>
      <c r="B3" s="25" t="inlineStr">
        <is>
          <t>Installer</t>
        </is>
      </c>
      <c r="C3" s="40" t="n">
        <v>26</v>
      </c>
      <c r="D3" s="43" t="n">
        <v>0.35</v>
      </c>
      <c r="E3" s="47">
        <f>IF(AND(C3="",D3=""),0,IF(AND(ISNUMBER(C3),ISNUMBER(D3)),C3*(1+D3),NA()))</f>
        <v/>
      </c>
    </row>
    <row r="4" ht="15" customHeight="1" s="26">
      <c r="A4" s="25" t="inlineStr">
        <is>
          <t>R3</t>
        </is>
      </c>
      <c r="B4" s="25" t="inlineStr">
        <is>
          <t>Laborer</t>
        </is>
      </c>
      <c r="C4" s="40" t="n">
        <v>20</v>
      </c>
      <c r="D4" s="43" t="n">
        <v>0.35</v>
      </c>
      <c r="E4" s="47">
        <f>IF(AND(C4="",D4=""),0,IF(AND(ISNUMBER(C4),ISNUMBER(D4)),C4*(1+D4),NA()))</f>
        <v/>
      </c>
    </row>
    <row r="5" ht="15" customHeight="1" s="26">
      <c r="A5" s="25" t="inlineStr">
        <is>
          <t>R4</t>
        </is>
      </c>
      <c r="B5" s="25" t="inlineStr">
        <is>
          <t>Equipment operator</t>
        </is>
      </c>
      <c r="C5" s="40" t="n">
        <v>28</v>
      </c>
      <c r="D5" s="43" t="n">
        <v>0.35</v>
      </c>
      <c r="E5" s="47">
        <f>IF(AND(C5="",D5=""),0,IF(AND(ISNUMBER(C5),ISNUMBER(D5)),C5*(1+D5),NA()))</f>
        <v/>
      </c>
    </row>
    <row r="6" ht="15" customHeight="1" s="26">
      <c r="A6" s="25" t="inlineStr">
        <is>
          <t>R5</t>
        </is>
      </c>
      <c r="C6" s="40" t="n"/>
      <c r="D6" s="43" t="n"/>
      <c r="E6" s="47">
        <f>IF(AND(C6="",D6=""),0,IF(AND(ISNUMBER(C6),ISNUMBER(D6)),C6*(1+D6),NA()))</f>
        <v/>
      </c>
    </row>
    <row r="7" ht="15" customHeight="1" s="26">
      <c r="A7" s="25" t="inlineStr">
        <is>
          <t>R6</t>
        </is>
      </c>
      <c r="C7" s="40" t="n"/>
      <c r="D7" s="43" t="n"/>
      <c r="E7" s="47">
        <f>IF(AND(C7="",D7=""),0,IF(AND(ISNUMBER(C7),ISNUMBER(D7)),C7*(1+D7),NA()))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34" customWidth="1" style="25" min="2" max="2"/>
    <col width="11" customWidth="1" style="25" min="3" max="7"/>
    <col width="20" customWidth="1" style="25" min="8" max="8"/>
  </cols>
  <sheetData>
    <row r="1" ht="31.5" customHeight="1" s="26">
      <c r="A1" s="36" t="inlineStr">
        <is>
          <t>crew_id</t>
        </is>
      </c>
      <c r="B1" s="36" t="inlineStr">
        <is>
          <t>description</t>
        </is>
      </c>
      <c r="C1" s="36" t="inlineStr">
        <is>
          <t>n_R1_foreman</t>
        </is>
      </c>
      <c r="D1" s="36" t="inlineStr">
        <is>
          <t>n_R2_installer</t>
        </is>
      </c>
      <c r="E1" s="36" t="inlineStr">
        <is>
          <t>n_R3_laborer</t>
        </is>
      </c>
      <c r="F1" s="36" t="inlineStr">
        <is>
          <t>n_R4_operator</t>
        </is>
      </c>
      <c r="G1" s="36" t="inlineStr">
        <is>
          <t>headcount</t>
        </is>
      </c>
      <c r="H1" s="36" t="inlineStr">
        <is>
          <t>loaded_rate_per_crew_hr</t>
        </is>
      </c>
      <c r="I1" s="36" t="inlineStr">
        <is>
          <t>efficiency_pct</t>
        </is>
      </c>
      <c r="J1" s="36" t="inlineStr">
        <is>
          <t>difficulty_easy</t>
        </is>
      </c>
      <c r="K1" s="36" t="inlineStr">
        <is>
          <t>difficulty_standard</t>
        </is>
      </c>
      <c r="L1" s="36" t="inlineStr">
        <is>
          <t>difficulty_hard</t>
        </is>
      </c>
      <c r="M1" s="36" t="inlineStr">
        <is>
          <t>qualifications</t>
        </is>
      </c>
      <c r="N1" s="36" t="inlineStr">
        <is>
          <t>profile_version</t>
        </is>
      </c>
    </row>
    <row r="2" ht="15" customHeight="1" s="26">
      <c r="A2" s="25" t="inlineStr">
        <is>
          <t>CR1</t>
        </is>
      </c>
      <c r="B2" s="25" t="inlineStr">
        <is>
          <t>Layout and drill crew</t>
        </is>
      </c>
      <c r="C2" s="41" t="n">
        <v>1</v>
      </c>
      <c r="D2" s="41" t="n">
        <v>0</v>
      </c>
      <c r="E2" s="41" t="n">
        <v>1</v>
      </c>
      <c r="F2" s="41" t="n">
        <v>1</v>
      </c>
      <c r="G2" s="25">
        <f>SUM(C2:F2)</f>
        <v/>
      </c>
      <c r="H2" s="47">
        <f>IF(COUNT(C2:F2)=0,0,IF(COUNT(C2:F2)=4,C2*Roles!$E$2+D2*Roles!$E$3+E2*Roles!$E$4+F2*Roles!$E$5,NA()))</f>
        <v/>
      </c>
      <c r="I2" s="41" t="n">
        <v>100</v>
      </c>
      <c r="J2" s="41" t="n">
        <v>1</v>
      </c>
      <c r="K2" s="41" t="n">
        <v>1</v>
      </c>
      <c r="L2" s="41" t="n">
        <v>1</v>
      </c>
      <c r="M2" s="41" t="n"/>
      <c r="N2" s="41" t="inlineStr">
        <is>
          <t>1</t>
        </is>
      </c>
    </row>
    <row r="3" ht="15" customHeight="1" s="26">
      <c r="A3" s="25" t="inlineStr">
        <is>
          <t>CR2</t>
        </is>
      </c>
      <c r="B3" s="25" t="inlineStr">
        <is>
          <t>Post and rail crew</t>
        </is>
      </c>
      <c r="C3" s="41" t="n">
        <v>1</v>
      </c>
      <c r="D3" s="41" t="n">
        <v>2</v>
      </c>
      <c r="E3" s="41" t="n">
        <v>1</v>
      </c>
      <c r="F3" s="41" t="n">
        <v>0</v>
      </c>
      <c r="G3" s="25">
        <f>SUM(C3:F3)</f>
        <v/>
      </c>
      <c r="H3" s="47">
        <f>IF(COUNT(C3:F3)=0,0,IF(COUNT(C3:F3)=4,C3*Roles!$E$2+D3*Roles!$E$3+E3*Roles!$E$4+F3*Roles!$E$5,NA()))</f>
        <v/>
      </c>
      <c r="I3" s="41" t="n">
        <v>100</v>
      </c>
      <c r="J3" s="41" t="n">
        <v>1</v>
      </c>
      <c r="K3" s="41" t="n">
        <v>1</v>
      </c>
      <c r="L3" s="41" t="n">
        <v>1</v>
      </c>
      <c r="M3" s="41" t="n"/>
      <c r="N3" s="41" t="inlineStr">
        <is>
          <t>1</t>
        </is>
      </c>
    </row>
    <row r="4" ht="15" customHeight="1" s="26">
      <c r="A4" s="25" t="inlineStr">
        <is>
          <t>CR3</t>
        </is>
      </c>
      <c r="B4" s="25" t="inlineStr">
        <is>
          <t>Fabric and gate crew</t>
        </is>
      </c>
      <c r="C4" s="41" t="n">
        <v>1</v>
      </c>
      <c r="D4" s="41" t="n">
        <v>2</v>
      </c>
      <c r="E4" s="41" t="n">
        <v>1</v>
      </c>
      <c r="F4" s="41" t="n">
        <v>0</v>
      </c>
      <c r="G4" s="25">
        <f>SUM(C4:F4)</f>
        <v/>
      </c>
      <c r="H4" s="47">
        <f>IF(COUNT(C4:F4)=0,0,IF(COUNT(C4:F4)=4,C4*Roles!$E$2+D4*Roles!$E$3+E4*Roles!$E$4+F4*Roles!$E$5,NA()))</f>
        <v/>
      </c>
      <c r="I4" s="41" t="n">
        <v>100</v>
      </c>
      <c r="J4" s="41" t="n">
        <v>1</v>
      </c>
      <c r="K4" s="41" t="n">
        <v>1</v>
      </c>
      <c r="L4" s="41" t="n">
        <v>1</v>
      </c>
      <c r="M4" s="41" t="n"/>
      <c r="N4" s="41" t="inlineStr">
        <is>
          <t>1</t>
        </is>
      </c>
    </row>
    <row r="5" ht="15" customHeight="1" s="26">
      <c r="A5" s="25" t="inlineStr">
        <is>
          <t>CR4</t>
        </is>
      </c>
      <c r="B5" s="25" t="inlineStr">
        <is>
          <t>Windscreen and finish crew</t>
        </is>
      </c>
      <c r="C5" s="41" t="n">
        <v>0</v>
      </c>
      <c r="D5" s="41" t="n">
        <v>1</v>
      </c>
      <c r="E5" s="41" t="n">
        <v>2</v>
      </c>
      <c r="F5" s="41" t="n">
        <v>0</v>
      </c>
      <c r="G5" s="25">
        <f>SUM(C5:F5)</f>
        <v/>
      </c>
      <c r="H5" s="47">
        <f>IF(COUNT(C5:F5)=0,0,IF(COUNT(C5:F5)=4,C5*Roles!$E$2+D5*Roles!$E$3+E5*Roles!$E$4+F5*Roles!$E$5,NA()))</f>
        <v/>
      </c>
      <c r="I5" s="41" t="n">
        <v>100</v>
      </c>
      <c r="J5" s="41" t="n">
        <v>1</v>
      </c>
      <c r="K5" s="41" t="n">
        <v>1</v>
      </c>
      <c r="L5" s="41" t="n">
        <v>1</v>
      </c>
      <c r="M5" s="41" t="n"/>
      <c r="N5" s="41" t="inlineStr">
        <is>
          <t>1</t>
        </is>
      </c>
    </row>
    <row r="6" ht="15" customHeight="1" s="26">
      <c r="A6" s="25" t="inlineStr">
        <is>
          <t>CR5</t>
        </is>
      </c>
      <c r="C6" s="41" t="n"/>
      <c r="D6" s="41" t="n"/>
      <c r="E6" s="41" t="n"/>
      <c r="F6" s="41" t="n"/>
      <c r="G6" s="25">
        <f>SUM(C6:F6)</f>
        <v/>
      </c>
      <c r="H6" s="47">
        <f>IF(COUNT(C6:F6)=0,0,IF(COUNT(C6:F6)=4,C6*Roles!$E$2+D6*Roles!$E$3+E6*Roles!$E$4+F6*Roles!$E$5,NA()))</f>
        <v/>
      </c>
      <c r="I6" s="41" t="n"/>
      <c r="J6" s="41" t="n"/>
      <c r="K6" s="41" t="n"/>
      <c r="L6" s="41" t="n"/>
      <c r="M6" s="41" t="n"/>
      <c r="N6" s="41" t="n"/>
    </row>
    <row r="7" ht="15" customHeight="1" s="26">
      <c r="A7" s="25" t="inlineStr">
        <is>
          <t>CR6</t>
        </is>
      </c>
      <c r="C7" s="41" t="n"/>
      <c r="D7" s="41" t="n"/>
      <c r="E7" s="41" t="n"/>
      <c r="F7" s="41" t="n"/>
      <c r="G7" s="25">
        <f>SUM(C7:F7)</f>
        <v/>
      </c>
      <c r="H7" s="47">
        <f>IF(COUNT(C7:F7)=0,0,IF(COUNT(C7:F7)=4,C7*Roles!$E$2+D7*Roles!$E$3+E7*Roles!$E$4+F7*Roles!$E$5,NA()))</f>
        <v/>
      </c>
      <c r="I7" s="41" t="n"/>
      <c r="J7" s="41" t="n"/>
      <c r="K7" s="41" t="n"/>
      <c r="L7" s="41" t="n"/>
      <c r="M7" s="41" t="n"/>
      <c r="N7" s="41" t="n"/>
    </row>
    <row r="8">
      <c r="A8" s="25" t="inlineStr">
        <is>
          <t>CR11</t>
        </is>
      </c>
      <c r="B8" s="25" t="inlineStr">
        <is>
          <t>Crew 1: foreman + 2 laborers</t>
        </is>
      </c>
      <c r="C8" s="41" t="n">
        <v>1</v>
      </c>
      <c r="D8" s="41" t="n">
        <v>0</v>
      </c>
      <c r="E8" s="41" t="n">
        <v>2</v>
      </c>
      <c r="F8" s="41" t="n">
        <v>0</v>
      </c>
      <c r="G8" s="25">
        <f>SUM(C8:F8)</f>
        <v/>
      </c>
      <c r="H8" s="47">
        <f>IF(COUNT(C8:F8)=0,0,IF(COUNT(C8:F8)=4,C8*Roles!$E$2+D8*Roles!$E$3+E8*Roles!$E$4+F8*Roles!$E$5,NA()))</f>
        <v/>
      </c>
      <c r="I8" s="41" t="n">
        <v>104</v>
      </c>
      <c r="J8" s="41" t="n">
        <v>1.1</v>
      </c>
      <c r="K8" s="41" t="n">
        <v>1</v>
      </c>
      <c r="L8" s="41" t="n">
        <v>0.8</v>
      </c>
      <c r="M8" s="41" t="n"/>
      <c r="N8" s="41" t="inlineStr">
        <is>
          <t>A1</t>
        </is>
      </c>
    </row>
    <row r="9">
      <c r="A9" s="25" t="inlineStr">
        <is>
          <t>CR12</t>
        </is>
      </c>
      <c r="B9" s="25" t="inlineStr">
        <is>
          <t>Crew 2: specialized fence crew</t>
        </is>
      </c>
      <c r="C9" s="41" t="n">
        <v>1</v>
      </c>
      <c r="D9" s="41" t="n">
        <v>2</v>
      </c>
      <c r="E9" s="41" t="n">
        <v>1</v>
      </c>
      <c r="F9" s="41" t="n">
        <v>0</v>
      </c>
      <c r="G9" s="25">
        <f>SUM(C9:F9)</f>
        <v/>
      </c>
      <c r="H9" s="47">
        <f>IF(COUNT(C9:F9)=0,0,IF(COUNT(C9:F9)=4,C9*Roles!$E$2+D9*Roles!$E$3+E9*Roles!$E$4+F9*Roles!$E$5,NA()))</f>
        <v/>
      </c>
      <c r="I9" s="41" t="n">
        <v>94</v>
      </c>
      <c r="J9" s="41" t="n">
        <v>1.03</v>
      </c>
      <c r="K9" s="41" t="n">
        <v>1</v>
      </c>
      <c r="L9" s="41" t="n">
        <v>0.95</v>
      </c>
      <c r="M9" s="41" t="n"/>
      <c r="N9" s="41" t="inlineStr">
        <is>
          <t>B1</t>
        </is>
      </c>
    </row>
    <row r="10">
      <c r="A10" s="25" t="inlineStr">
        <is>
          <t>CR13</t>
        </is>
      </c>
      <c r="B10" s="25" t="inlineStr">
        <is>
          <t>Crew 3: installers + operator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25">
        <f>SUM(C10:F10)</f>
        <v/>
      </c>
      <c r="H10" s="47">
        <f>IF(COUNT(C10:F10)=0,0,IF(COUNT(C10:F10)=4,C10*Roles!$E$2+D10*Roles!$E$3+E10*Roles!$E$4+F10*Roles!$E$5,NA()))</f>
        <v/>
      </c>
      <c r="I10" s="41" t="n">
        <v>88</v>
      </c>
      <c r="J10" s="41" t="n">
        <v>1</v>
      </c>
      <c r="K10" s="41" t="n">
        <v>1</v>
      </c>
      <c r="L10" s="41" t="n">
        <v>0.97</v>
      </c>
      <c r="M10" s="41" t="n"/>
      <c r="N10" s="41" t="inlineStr">
        <is>
          <t>C1</t>
        </is>
      </c>
    </row>
    <row r="11">
      <c r="A11" s="25" t="inlineStr">
        <is>
          <t>CR14</t>
        </is>
      </c>
      <c r="B11" s="25" t="inlineStr">
        <is>
          <t>Crew 4: foreman, installers + operator</t>
        </is>
      </c>
      <c r="C11" s="41" t="n">
        <v>1</v>
      </c>
      <c r="D11" s="41" t="n">
        <v>2</v>
      </c>
      <c r="E11" s="41" t="n">
        <v>0</v>
      </c>
      <c r="F11" s="41" t="n">
        <v>1</v>
      </c>
      <c r="G11" s="25">
        <f>SUM(C11:F11)</f>
        <v/>
      </c>
      <c r="H11" s="47">
        <f>IF(COUNT(C11:F11)=0,0,IF(COUNT(C11:F11)=4,C11*Roles!$E$2+D11*Roles!$E$3+E11*Roles!$E$4+F11*Roles!$E$5,NA()))</f>
        <v/>
      </c>
      <c r="I11" s="41" t="n">
        <v>97</v>
      </c>
      <c r="J11" s="41" t="n">
        <v>1.05</v>
      </c>
      <c r="K11" s="41" t="n">
        <v>1</v>
      </c>
      <c r="L11" s="41" t="n">
        <v>0.92</v>
      </c>
      <c r="M11" s="41" t="n"/>
      <c r="N11" s="41" t="inlineStr">
        <is>
          <t>D1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5" min="1" max="1"/>
    <col width="36" customWidth="1" style="25" min="2" max="2"/>
    <col width="11" customWidth="1" style="25" min="3" max="3"/>
    <col width="8" customWidth="1" style="25" min="4" max="4"/>
    <col width="9" customWidth="1" style="25" min="5" max="5"/>
    <col width="18" customWidth="1" style="25" min="6" max="6"/>
    <col width="12" customWidth="1" style="25" min="7" max="8"/>
    <col width="13" customWidth="1" style="25" min="9" max="10"/>
    <col width="14" customWidth="1" style="25" min="11" max="13"/>
    <col width="13" customWidth="1" style="25" min="14" max="14"/>
    <col width="28" customWidth="1" style="25" min="15" max="15"/>
  </cols>
  <sheetData>
    <row r="1" ht="31.5" customHeight="1" s="26">
      <c r="A1" s="36" t="inlineStr">
        <is>
          <t>task_id</t>
        </is>
      </c>
      <c r="B1" s="36" t="inlineStr">
        <is>
          <t>task</t>
        </is>
      </c>
      <c r="C1" s="36" t="inlineStr">
        <is>
          <t>driver_key</t>
        </is>
      </c>
      <c r="D1" s="36" t="inlineStr">
        <is>
          <t>uom</t>
        </is>
      </c>
      <c r="E1" s="36" t="inlineStr">
        <is>
          <t>crew_id</t>
        </is>
      </c>
      <c r="F1" s="36" t="inlineStr">
        <is>
          <t>production_rate (uom per crew-hr)</t>
        </is>
      </c>
      <c r="G1" s="36" t="inlineStr">
        <is>
          <t>qty_base</t>
        </is>
      </c>
      <c r="H1" s="36" t="inlineStr">
        <is>
          <t>qty_alt</t>
        </is>
      </c>
      <c r="I1" s="36" t="inlineStr">
        <is>
          <t>crew_hrs_base</t>
        </is>
      </c>
      <c r="J1" s="36" t="inlineStr">
        <is>
          <t>crew_hrs_alt</t>
        </is>
      </c>
      <c r="K1" s="36" t="inlineStr">
        <is>
          <t>crew_rate_per_hr</t>
        </is>
      </c>
      <c r="L1" s="36" t="inlineStr">
        <is>
          <t>labor_base</t>
        </is>
      </c>
      <c r="M1" s="36" t="inlineStr">
        <is>
          <t>labor_alt</t>
        </is>
      </c>
      <c r="N1" s="36" t="inlineStr">
        <is>
          <t>per_unit_base</t>
        </is>
      </c>
      <c r="O1" s="36" t="inlineStr">
        <is>
          <t>notes</t>
        </is>
      </c>
      <c r="P1" s="36" t="inlineStr">
        <is>
          <t>rate_basis</t>
        </is>
      </c>
      <c r="Q1" s="36" t="inlineStr">
        <is>
          <t>required_roles</t>
        </is>
      </c>
      <c r="R1" s="36" t="inlineStr">
        <is>
          <t>required_qualifications</t>
        </is>
      </c>
    </row>
    <row r="2" ht="15" customHeight="1" s="26">
      <c r="A2" s="37" t="inlineStr">
        <is>
          <t>L01</t>
        </is>
      </c>
      <c r="B2" s="48" t="inlineStr">
        <is>
          <t>Layout and stakeout</t>
        </is>
      </c>
      <c r="C2" s="48" t="inlineStr">
        <is>
          <t>D12</t>
        </is>
      </c>
      <c r="D2" s="37">
        <f>IF($C2="","",INDEX(Takeoff_In!$C$2:$C$300,MATCH($C2,Takeoff_In!$A$2:$A$300,0)))</f>
        <v/>
      </c>
      <c r="E2" s="41" t="inlineStr">
        <is>
          <t>CR1</t>
        </is>
      </c>
      <c r="F2" s="49" t="n">
        <v>150</v>
      </c>
      <c r="G2" s="44">
        <f>IF($C2="","",IF(INDEX(Takeoff_In!$D$2:$D$300,MATCH($C2,Takeoff_In!$A$2:$A$300,0))="",NA(),INDEX(Takeoff_In!$D$2:$D$300,MATCH($C2,Takeoff_In!$A$2:$A$300,0))))</f>
        <v/>
      </c>
      <c r="H2" s="44">
        <f>IF($C2="","",IF(INDEX(Takeoff_In!$E$2:$E$300,MATCH($C2,Takeoff_In!$A$2:$A$300,0))="",NA(),INDEX(Takeoff_In!$E$2:$E$300,MATCH($C2,Takeoff_In!$A$2:$A$300,0))))</f>
        <v/>
      </c>
      <c r="I2" s="45">
        <f>IF($C2="",0,IF(AND(ISNUMBER($F2),$F2&gt;0),G2/$F2,NA()))</f>
        <v/>
      </c>
      <c r="J2" s="45">
        <f>IF($C2="",0,IF(AND(ISNUMBER($F2),$F2&gt;0),H2/$F2,NA()))</f>
        <v/>
      </c>
      <c r="K2" s="46">
        <f>IF($C2="",0,INDEX(Crews!$H$2:$H$20,MATCH($E2,Crews!$A$2:$A$20,0)))</f>
        <v/>
      </c>
      <c r="L2" s="46">
        <f>IF($C2="",0,I2*K2)</f>
        <v/>
      </c>
      <c r="M2" s="46">
        <f>IF($C2="",0,J2*K2)</f>
        <v/>
      </c>
      <c r="N2" s="46">
        <f>IF($C2="",0,IF(G2=0,0,L2/G2))</f>
        <v/>
      </c>
      <c r="O2" s="48" t="n"/>
      <c r="P2" s="48" t="inlineStr">
        <is>
          <t>standard</t>
        </is>
      </c>
      <c r="Q2" s="48" t="n"/>
      <c r="R2" s="48" t="n"/>
    </row>
    <row r="3" ht="15" customHeight="1" s="26">
      <c r="A3" s="37" t="inlineStr">
        <is>
          <t>L02</t>
        </is>
      </c>
      <c r="B3" s="48" t="inlineStr">
        <is>
          <t>Drill post holes</t>
        </is>
      </c>
      <c r="C3" s="48" t="inlineStr">
        <is>
          <t>D04</t>
        </is>
      </c>
      <c r="D3" s="37">
        <f>IF($C3="","",INDEX(Takeoff_In!$C$2:$C$300,MATCH($C3,Takeoff_In!$A$2:$A$300,0)))</f>
        <v/>
      </c>
      <c r="E3" s="41" t="inlineStr">
        <is>
          <t>CR1</t>
        </is>
      </c>
      <c r="F3" s="49" t="n">
        <v>8</v>
      </c>
      <c r="G3" s="44">
        <f>IF($C3="","",IF(INDEX(Takeoff_In!$D$2:$D$300,MATCH($C3,Takeoff_In!$A$2:$A$300,0))="",NA(),INDEX(Takeoff_In!$D$2:$D$300,MATCH($C3,Takeoff_In!$A$2:$A$300,0))))</f>
        <v/>
      </c>
      <c r="H3" s="44">
        <f>IF($C3="","",IF(INDEX(Takeoff_In!$E$2:$E$300,MATCH($C3,Takeoff_In!$A$2:$A$300,0))="",NA(),INDEX(Takeoff_In!$E$2:$E$300,MATCH($C3,Takeoff_In!$A$2:$A$300,0))))</f>
        <v/>
      </c>
      <c r="I3" s="45">
        <f>IF($C3="",0,IF(AND(ISNUMBER($F3),$F3&gt;0),G3/$F3,NA()))</f>
        <v/>
      </c>
      <c r="J3" s="45">
        <f>IF($C3="",0,IF(AND(ISNUMBER($F3),$F3&gt;0),H3/$F3,NA()))</f>
        <v/>
      </c>
      <c r="K3" s="46">
        <f>IF($C3="",0,INDEX(Crews!$H$2:$H$20,MATCH($E3,Crews!$A$2:$A$20,0)))</f>
        <v/>
      </c>
      <c r="L3" s="46">
        <f>IF($C3="",0,I3*K3)</f>
        <v/>
      </c>
      <c r="M3" s="46">
        <f>IF($C3="",0,J3*K3)</f>
        <v/>
      </c>
      <c r="N3" s="46">
        <f>IF($C3="",0,IF(G3=0,0,L3/G3))</f>
        <v/>
      </c>
      <c r="O3" s="48" t="n"/>
      <c r="P3" s="48" t="inlineStr">
        <is>
          <t>standard</t>
        </is>
      </c>
      <c r="Q3" s="48" t="inlineStr">
        <is>
          <t>R4</t>
        </is>
      </c>
      <c r="R3" s="48" t="n"/>
    </row>
    <row r="4" ht="15" customHeight="1" s="26">
      <c r="A4" s="37" t="inlineStr">
        <is>
          <t>L03</t>
        </is>
      </c>
      <c r="B4" s="48" t="inlineStr">
        <is>
          <t>Set posts, plumb, pour concrete</t>
        </is>
      </c>
      <c r="C4" s="48" t="inlineStr">
        <is>
          <t>D03</t>
        </is>
      </c>
      <c r="D4" s="37">
        <f>IF($C4="","",INDEX(Takeoff_In!$C$2:$C$300,MATCH($C4,Takeoff_In!$A$2:$A$300,0)))</f>
        <v/>
      </c>
      <c r="E4" s="41" t="inlineStr">
        <is>
          <t>CR2</t>
        </is>
      </c>
      <c r="F4" s="49" t="n">
        <v>6</v>
      </c>
      <c r="G4" s="44">
        <f>IF($C4="","",IF(INDEX(Takeoff_In!$D$2:$D$300,MATCH($C4,Takeoff_In!$A$2:$A$300,0))="",NA(),INDEX(Takeoff_In!$D$2:$D$300,MATCH($C4,Takeoff_In!$A$2:$A$300,0))))</f>
        <v/>
      </c>
      <c r="H4" s="44">
        <f>IF($C4="","",IF(INDEX(Takeoff_In!$E$2:$E$300,MATCH($C4,Takeoff_In!$A$2:$A$300,0))="",NA(),INDEX(Takeoff_In!$E$2:$E$300,MATCH($C4,Takeoff_In!$A$2:$A$300,0))))</f>
        <v/>
      </c>
      <c r="I4" s="45">
        <f>IF($C4="",0,IF(AND(ISNUMBER($F4),$F4&gt;0),G4/$F4,NA()))</f>
        <v/>
      </c>
      <c r="J4" s="45">
        <f>IF($C4="",0,IF(AND(ISNUMBER($F4),$F4&gt;0),H4/$F4,NA()))</f>
        <v/>
      </c>
      <c r="K4" s="46">
        <f>IF($C4="",0,INDEX(Crews!$H$2:$H$20,MATCH($E4,Crews!$A$2:$A$20,0)))</f>
        <v/>
      </c>
      <c r="L4" s="46">
        <f>IF($C4="",0,I4*K4)</f>
        <v/>
      </c>
      <c r="M4" s="46">
        <f>IF($C4="",0,J4*K4)</f>
        <v/>
      </c>
      <c r="N4" s="46">
        <f>IF($C4="",0,IF(G4=0,0,L4/G4))</f>
        <v/>
      </c>
      <c r="O4" s="48" t="n"/>
      <c r="P4" s="48" t="inlineStr">
        <is>
          <t>standard</t>
        </is>
      </c>
      <c r="Q4" s="48" t="n"/>
      <c r="R4" s="48" t="n"/>
    </row>
    <row r="5" ht="15" customHeight="1" s="26">
      <c r="A5" s="37" t="inlineStr">
        <is>
          <t>L04</t>
        </is>
      </c>
      <c r="B5" s="48" t="inlineStr">
        <is>
          <t>Install top rail and brace rail</t>
        </is>
      </c>
      <c r="C5" s="48" t="inlineStr">
        <is>
          <t>D06</t>
        </is>
      </c>
      <c r="D5" s="37">
        <f>IF($C5="","",INDEX(Takeoff_In!$C$2:$C$300,MATCH($C5,Takeoff_In!$A$2:$A$300,0)))</f>
        <v/>
      </c>
      <c r="E5" s="41" t="inlineStr">
        <is>
          <t>CR2</t>
        </is>
      </c>
      <c r="F5" s="49" t="n">
        <v>90</v>
      </c>
      <c r="G5" s="44">
        <f>IF($C5="","",IF(INDEX(Takeoff_In!$D$2:$D$300,MATCH($C5,Takeoff_In!$A$2:$A$300,0))="",NA(),INDEX(Takeoff_In!$D$2:$D$300,MATCH($C5,Takeoff_In!$A$2:$A$300,0))))</f>
        <v/>
      </c>
      <c r="H5" s="44">
        <f>IF($C5="","",IF(INDEX(Takeoff_In!$E$2:$E$300,MATCH($C5,Takeoff_In!$A$2:$A$300,0))="",NA(),INDEX(Takeoff_In!$E$2:$E$300,MATCH($C5,Takeoff_In!$A$2:$A$300,0))))</f>
        <v/>
      </c>
      <c r="I5" s="45">
        <f>IF($C5="",0,IF(AND(ISNUMBER($F5),$F5&gt;0),G5/$F5,NA()))</f>
        <v/>
      </c>
      <c r="J5" s="45">
        <f>IF($C5="",0,IF(AND(ISNUMBER($F5),$F5&gt;0),H5/$F5,NA()))</f>
        <v/>
      </c>
      <c r="K5" s="46">
        <f>IF($C5="",0,INDEX(Crews!$H$2:$H$20,MATCH($E5,Crews!$A$2:$A$20,0)))</f>
        <v/>
      </c>
      <c r="L5" s="46">
        <f>IF($C5="",0,I5*K5)</f>
        <v/>
      </c>
      <c r="M5" s="46">
        <f>IF($C5="",0,J5*K5)</f>
        <v/>
      </c>
      <c r="N5" s="46">
        <f>IF($C5="",0,IF(G5=0,0,L5/G5))</f>
        <v/>
      </c>
      <c r="O5" s="48" t="n"/>
      <c r="P5" s="48" t="inlineStr">
        <is>
          <t>standard</t>
        </is>
      </c>
      <c r="Q5" s="48" t="n"/>
      <c r="R5" s="48" t="n"/>
    </row>
    <row r="6" ht="15" customHeight="1" s="26">
      <c r="A6" s="37" t="inlineStr">
        <is>
          <t>L05</t>
        </is>
      </c>
      <c r="B6" s="48" t="inlineStr">
        <is>
          <t>Install braces and truss rods</t>
        </is>
      </c>
      <c r="C6" s="48" t="inlineStr">
        <is>
          <t>D08</t>
        </is>
      </c>
      <c r="D6" s="37">
        <f>IF($C6="","",INDEX(Takeoff_In!$C$2:$C$300,MATCH($C6,Takeoff_In!$A$2:$A$300,0)))</f>
        <v/>
      </c>
      <c r="E6" s="41" t="inlineStr">
        <is>
          <t>CR2</t>
        </is>
      </c>
      <c r="F6" s="49" t="n">
        <v>3</v>
      </c>
      <c r="G6" s="44">
        <f>IF($C6="","",IF(INDEX(Takeoff_In!$D$2:$D$300,MATCH($C6,Takeoff_In!$A$2:$A$300,0))="",NA(),INDEX(Takeoff_In!$D$2:$D$300,MATCH($C6,Takeoff_In!$A$2:$A$300,0))))</f>
        <v/>
      </c>
      <c r="H6" s="44">
        <f>IF($C6="","",IF(INDEX(Takeoff_In!$E$2:$E$300,MATCH($C6,Takeoff_In!$A$2:$A$300,0))="",NA(),INDEX(Takeoff_In!$E$2:$E$300,MATCH($C6,Takeoff_In!$A$2:$A$300,0))))</f>
        <v/>
      </c>
      <c r="I6" s="45">
        <f>IF($C6="",0,IF(AND(ISNUMBER($F6),$F6&gt;0),G6/$F6,NA()))</f>
        <v/>
      </c>
      <c r="J6" s="45">
        <f>IF($C6="",0,IF(AND(ISNUMBER($F6),$F6&gt;0),H6/$F6,NA()))</f>
        <v/>
      </c>
      <c r="K6" s="46">
        <f>IF($C6="",0,INDEX(Crews!$H$2:$H$20,MATCH($E6,Crews!$A$2:$A$20,0)))</f>
        <v/>
      </c>
      <c r="L6" s="46">
        <f>IF($C6="",0,I6*K6)</f>
        <v/>
      </c>
      <c r="M6" s="46">
        <f>IF($C6="",0,J6*K6)</f>
        <v/>
      </c>
      <c r="N6" s="46">
        <f>IF($C6="",0,IF(G6=0,0,L6/G6))</f>
        <v/>
      </c>
      <c r="O6" s="48" t="n"/>
      <c r="P6" s="48" t="inlineStr">
        <is>
          <t>standard</t>
        </is>
      </c>
      <c r="Q6" s="48" t="n"/>
      <c r="R6" s="48" t="n"/>
    </row>
    <row r="7" ht="15" customHeight="1" s="26">
      <c r="A7" s="37" t="inlineStr">
        <is>
          <t>L06</t>
        </is>
      </c>
      <c r="B7" s="48" t="inlineStr">
        <is>
          <t>Hang and tension fabric</t>
        </is>
      </c>
      <c r="C7" s="48" t="inlineStr">
        <is>
          <t>D07</t>
        </is>
      </c>
      <c r="D7" s="37">
        <f>IF($C7="","",INDEX(Takeoff_In!$C$2:$C$300,MATCH($C7,Takeoff_In!$A$2:$A$300,0)))</f>
        <v/>
      </c>
      <c r="E7" s="41" t="inlineStr">
        <is>
          <t>CR3</t>
        </is>
      </c>
      <c r="F7" s="49" t="n">
        <v>35</v>
      </c>
      <c r="G7" s="44">
        <f>IF($C7="","",IF(INDEX(Takeoff_In!$D$2:$D$300,MATCH($C7,Takeoff_In!$A$2:$A$300,0))="",NA(),INDEX(Takeoff_In!$D$2:$D$300,MATCH($C7,Takeoff_In!$A$2:$A$300,0))))</f>
        <v/>
      </c>
      <c r="H7" s="44">
        <f>IF($C7="","",IF(INDEX(Takeoff_In!$E$2:$E$300,MATCH($C7,Takeoff_In!$A$2:$A$300,0))="",NA(),INDEX(Takeoff_In!$E$2:$E$300,MATCH($C7,Takeoff_In!$A$2:$A$300,0))))</f>
        <v/>
      </c>
      <c r="I7" s="45">
        <f>IF($C7="",0,IF(AND(ISNUMBER($F7),$F7&gt;0),G7/$F7,NA()))</f>
        <v/>
      </c>
      <c r="J7" s="45">
        <f>IF($C7="",0,IF(AND(ISNUMBER($F7),$F7&gt;0),H7/$F7,NA()))</f>
        <v/>
      </c>
      <c r="K7" s="46">
        <f>IF($C7="",0,INDEX(Crews!$H$2:$H$20,MATCH($E7,Crews!$A$2:$A$20,0)))</f>
        <v/>
      </c>
      <c r="L7" s="46">
        <f>IF($C7="",0,I7*K7)</f>
        <v/>
      </c>
      <c r="M7" s="46">
        <f>IF($C7="",0,J7*K7)</f>
        <v/>
      </c>
      <c r="N7" s="46">
        <f>IF($C7="",0,IF(G7=0,0,L7/G7))</f>
        <v/>
      </c>
      <c r="O7" s="48" t="n"/>
      <c r="P7" s="48" t="inlineStr">
        <is>
          <t>standard</t>
        </is>
      </c>
      <c r="Q7" s="48" t="n"/>
      <c r="R7" s="48" t="n"/>
    </row>
    <row r="8" ht="15" customHeight="1" s="26">
      <c r="A8" s="37" t="inlineStr">
        <is>
          <t>L07</t>
        </is>
      </c>
      <c r="B8" s="48" t="inlineStr">
        <is>
          <t>Install bottom tension wire</t>
        </is>
      </c>
      <c r="C8" s="48" t="inlineStr">
        <is>
          <t>D11</t>
        </is>
      </c>
      <c r="D8" s="37">
        <f>IF($C8="","",INDEX(Takeoff_In!$C$2:$C$300,MATCH($C8,Takeoff_In!$A$2:$A$300,0)))</f>
        <v/>
      </c>
      <c r="E8" s="41" t="inlineStr">
        <is>
          <t>CR3</t>
        </is>
      </c>
      <c r="F8" s="49" t="n">
        <v>80</v>
      </c>
      <c r="G8" s="44">
        <f>IF($C8="","",IF(INDEX(Takeoff_In!$D$2:$D$300,MATCH($C8,Takeoff_In!$A$2:$A$300,0))="",NA(),INDEX(Takeoff_In!$D$2:$D$300,MATCH($C8,Takeoff_In!$A$2:$A$300,0))))</f>
        <v/>
      </c>
      <c r="H8" s="44">
        <f>IF($C8="","",IF(INDEX(Takeoff_In!$E$2:$E$300,MATCH($C8,Takeoff_In!$A$2:$A$300,0))="",NA(),INDEX(Takeoff_In!$E$2:$E$300,MATCH($C8,Takeoff_In!$A$2:$A$300,0))))</f>
        <v/>
      </c>
      <c r="I8" s="45">
        <f>IF($C8="",0,IF(AND(ISNUMBER($F8),$F8&gt;0),G8/$F8,NA()))</f>
        <v/>
      </c>
      <c r="J8" s="45">
        <f>IF($C8="",0,IF(AND(ISNUMBER($F8),$F8&gt;0),H8/$F8,NA()))</f>
        <v/>
      </c>
      <c r="K8" s="46">
        <f>IF($C8="",0,INDEX(Crews!$H$2:$H$20,MATCH($E8,Crews!$A$2:$A$20,0)))</f>
        <v/>
      </c>
      <c r="L8" s="46">
        <f>IF($C8="",0,I8*K8)</f>
        <v/>
      </c>
      <c r="M8" s="46">
        <f>IF($C8="",0,J8*K8)</f>
        <v/>
      </c>
      <c r="N8" s="46">
        <f>IF($C8="",0,IF(G8=0,0,L8/G8))</f>
        <v/>
      </c>
      <c r="O8" s="48" t="n"/>
      <c r="P8" s="48" t="inlineStr">
        <is>
          <t>standard</t>
        </is>
      </c>
      <c r="Q8" s="48" t="n"/>
      <c r="R8" s="48" t="n"/>
    </row>
    <row r="9" ht="15" customHeight="1" s="26">
      <c r="A9" s="37" t="inlineStr">
        <is>
          <t>L08</t>
        </is>
      </c>
      <c r="B9" s="48" t="inlineStr">
        <is>
          <t>Hang gates and hardware</t>
        </is>
      </c>
      <c r="C9" s="48" t="inlineStr">
        <is>
          <t>D09</t>
        </is>
      </c>
      <c r="D9" s="37">
        <f>IF($C9="","",INDEX(Takeoff_In!$C$2:$C$300,MATCH($C9,Takeoff_In!$A$2:$A$300,0)))</f>
        <v/>
      </c>
      <c r="E9" s="41" t="inlineStr">
        <is>
          <t>CR3</t>
        </is>
      </c>
      <c r="F9" s="49" t="n">
        <v>0.5</v>
      </c>
      <c r="G9" s="44">
        <f>IF($C9="","",IF(INDEX(Takeoff_In!$D$2:$D$300,MATCH($C9,Takeoff_In!$A$2:$A$300,0))="",NA(),INDEX(Takeoff_In!$D$2:$D$300,MATCH($C9,Takeoff_In!$A$2:$A$300,0))))</f>
        <v/>
      </c>
      <c r="H9" s="44">
        <f>IF($C9="","",IF(INDEX(Takeoff_In!$E$2:$E$300,MATCH($C9,Takeoff_In!$A$2:$A$300,0))="",NA(),INDEX(Takeoff_In!$E$2:$E$300,MATCH($C9,Takeoff_In!$A$2:$A$300,0))))</f>
        <v/>
      </c>
      <c r="I9" s="45">
        <f>IF($C9="",0,IF(AND(ISNUMBER($F9),$F9&gt;0),G9/$F9,NA()))</f>
        <v/>
      </c>
      <c r="J9" s="45">
        <f>IF($C9="",0,IF(AND(ISNUMBER($F9),$F9&gt;0),H9/$F9,NA()))</f>
        <v/>
      </c>
      <c r="K9" s="46">
        <f>IF($C9="",0,INDEX(Crews!$H$2:$H$20,MATCH($E9,Crews!$A$2:$A$20,0)))</f>
        <v/>
      </c>
      <c r="L9" s="46">
        <f>IF($C9="",0,I9*K9)</f>
        <v/>
      </c>
      <c r="M9" s="46">
        <f>IF($C9="",0,J9*K9)</f>
        <v/>
      </c>
      <c r="N9" s="46">
        <f>IF($C9="",0,IF(G9=0,0,L9/G9))</f>
        <v/>
      </c>
      <c r="O9" s="48" t="n"/>
      <c r="P9" s="48" t="inlineStr">
        <is>
          <t>standard</t>
        </is>
      </c>
      <c r="Q9" s="48" t="n"/>
      <c r="R9" s="48" t="n"/>
    </row>
    <row r="10" ht="15" customHeight="1" s="26">
      <c r="A10" s="37" t="inlineStr">
        <is>
          <t>L09</t>
        </is>
      </c>
      <c r="B10" s="48" t="inlineStr">
        <is>
          <t>Install windscreen</t>
        </is>
      </c>
      <c r="C10" s="48" t="inlineStr">
        <is>
          <t>D10</t>
        </is>
      </c>
      <c r="D10" s="37">
        <f>IF($C10="","",INDEX(Takeoff_In!$C$2:$C$300,MATCH($C10,Takeoff_In!$A$2:$A$300,0)))</f>
        <v/>
      </c>
      <c r="E10" s="41" t="inlineStr">
        <is>
          <t>CR4</t>
        </is>
      </c>
      <c r="F10" s="49" t="n">
        <v>40</v>
      </c>
      <c r="G10" s="44">
        <f>IF($C10="","",IF(INDEX(Takeoff_In!$D$2:$D$300,MATCH($C10,Takeoff_In!$A$2:$A$300,0))="",NA(),INDEX(Takeoff_In!$D$2:$D$300,MATCH($C10,Takeoff_In!$A$2:$A$300,0))))</f>
        <v/>
      </c>
      <c r="H10" s="44">
        <f>IF($C10="","",IF(INDEX(Takeoff_In!$E$2:$E$300,MATCH($C10,Takeoff_In!$A$2:$A$300,0))="",NA(),INDEX(Takeoff_In!$E$2:$E$300,MATCH($C10,Takeoff_In!$A$2:$A$300,0))))</f>
        <v/>
      </c>
      <c r="I10" s="45">
        <f>IF($C10="",0,IF(AND(ISNUMBER($F10),$F10&gt;0),G10/$F10,NA()))</f>
        <v/>
      </c>
      <c r="J10" s="45">
        <f>IF($C10="",0,IF(AND(ISNUMBER($F10),$F10&gt;0),H10/$F10,NA()))</f>
        <v/>
      </c>
      <c r="K10" s="46">
        <f>IF($C10="",0,INDEX(Crews!$H$2:$H$20,MATCH($E10,Crews!$A$2:$A$20,0)))</f>
        <v/>
      </c>
      <c r="L10" s="46">
        <f>IF($C10="",0,I10*K10)</f>
        <v/>
      </c>
      <c r="M10" s="46">
        <f>IF($C10="",0,J10*K10)</f>
        <v/>
      </c>
      <c r="N10" s="46">
        <f>IF($C10="",0,IF(G10=0,0,L10/G10))</f>
        <v/>
      </c>
      <c r="O10" s="48" t="n"/>
      <c r="P10" s="48" t="inlineStr">
        <is>
          <t>standard</t>
        </is>
      </c>
      <c r="Q10" s="48" t="n"/>
      <c r="R10" s="48" t="n"/>
    </row>
    <row r="11" ht="15" customHeight="1" s="26">
      <c r="A11" s="37" t="inlineStr">
        <is>
          <t>L10</t>
        </is>
      </c>
      <c r="B11" s="48" t="inlineStr">
        <is>
          <t>Cleanup and spoils haul</t>
        </is>
      </c>
      <c r="C11" s="48" t="inlineStr">
        <is>
          <t>D12</t>
        </is>
      </c>
      <c r="D11" s="37">
        <f>IF($C11="","",INDEX(Takeoff_In!$C$2:$C$300,MATCH($C11,Takeoff_In!$A$2:$A$300,0)))</f>
        <v/>
      </c>
      <c r="E11" s="41" t="inlineStr">
        <is>
          <t>CR4</t>
        </is>
      </c>
      <c r="F11" s="49" t="n">
        <v>200</v>
      </c>
      <c r="G11" s="44">
        <f>IF($C11="","",IF(INDEX(Takeoff_In!$D$2:$D$300,MATCH($C11,Takeoff_In!$A$2:$A$300,0))="",NA(),INDEX(Takeoff_In!$D$2:$D$300,MATCH($C11,Takeoff_In!$A$2:$A$300,0))))</f>
        <v/>
      </c>
      <c r="H11" s="44">
        <f>IF($C11="","",IF(INDEX(Takeoff_In!$E$2:$E$300,MATCH($C11,Takeoff_In!$A$2:$A$300,0))="",NA(),INDEX(Takeoff_In!$E$2:$E$300,MATCH($C11,Takeoff_In!$A$2:$A$300,0))))</f>
        <v/>
      </c>
      <c r="I11" s="45">
        <f>IF($C11="",0,IF(AND(ISNUMBER($F11),$F11&gt;0),G11/$F11,NA()))</f>
        <v/>
      </c>
      <c r="J11" s="45">
        <f>IF($C11="",0,IF(AND(ISNUMBER($F11),$F11&gt;0),H11/$F11,NA()))</f>
        <v/>
      </c>
      <c r="K11" s="46">
        <f>IF($C11="",0,INDEX(Crews!$H$2:$H$20,MATCH($E11,Crews!$A$2:$A$20,0)))</f>
        <v/>
      </c>
      <c r="L11" s="46">
        <f>IF($C11="",0,I11*K11)</f>
        <v/>
      </c>
      <c r="M11" s="46">
        <f>IF($C11="",0,J11*K11)</f>
        <v/>
      </c>
      <c r="N11" s="46">
        <f>IF($C11="",0,IF(G11=0,0,L11/G11))</f>
        <v/>
      </c>
      <c r="O11" s="48" t="n"/>
      <c r="P11" s="48" t="inlineStr">
        <is>
          <t>standard</t>
        </is>
      </c>
      <c r="Q11" s="48" t="n"/>
      <c r="R11" s="48" t="n"/>
    </row>
    <row r="12" ht="15" customHeight="1" s="26">
      <c r="A12" s="37" t="n"/>
      <c r="B12" s="48" t="n"/>
      <c r="C12" s="48" t="n"/>
      <c r="D12" s="37">
        <f>IF($C12="","",INDEX(Takeoff_In!$C$2:$C$300,MATCH($C12,Takeoff_In!$A$2:$A$300,0)))</f>
        <v/>
      </c>
      <c r="E12" s="41" t="n"/>
      <c r="F12" s="49" t="n"/>
      <c r="G12" s="44">
        <f>IF($C12="","",IF(INDEX(Takeoff_In!$D$2:$D$300,MATCH($C12,Takeoff_In!$A$2:$A$300,0))="",NA(),INDEX(Takeoff_In!$D$2:$D$300,MATCH($C12,Takeoff_In!$A$2:$A$300,0))))</f>
        <v/>
      </c>
      <c r="H12" s="44">
        <f>IF($C12="","",IF(INDEX(Takeoff_In!$E$2:$E$300,MATCH($C12,Takeoff_In!$A$2:$A$300,0))="",NA(),INDEX(Takeoff_In!$E$2:$E$300,MATCH($C12,Takeoff_In!$A$2:$A$300,0))))</f>
        <v/>
      </c>
      <c r="I12" s="45">
        <f>IF($C12="",0,IF(AND(ISNUMBER($F12),$F12&gt;0),G12/$F12,NA()))</f>
        <v/>
      </c>
      <c r="J12" s="45">
        <f>IF($C12="",0,IF(AND(ISNUMBER($F12),$F12&gt;0),H12/$F12,NA()))</f>
        <v/>
      </c>
      <c r="K12" s="46">
        <f>IF($C12="",0,INDEX(Crews!$H$2:$H$20,MATCH($E12,Crews!$A$2:$A$20,0)))</f>
        <v/>
      </c>
      <c r="L12" s="46">
        <f>IF($C12="",0,I12*K12)</f>
        <v/>
      </c>
      <c r="M12" s="46">
        <f>IF($C12="",0,J12*K12)</f>
        <v/>
      </c>
      <c r="N12" s="46">
        <f>IF($C12="",0,IF(G12=0,0,L12/G12))</f>
        <v/>
      </c>
      <c r="O12" s="48" t="n"/>
    </row>
    <row r="13" ht="15" customHeight="1" s="26">
      <c r="A13" s="37" t="n"/>
      <c r="B13" s="48" t="n"/>
      <c r="C13" s="48" t="n"/>
      <c r="D13" s="37">
        <f>IF($C13="","",INDEX(Takeoff_In!$C$2:$C$300,MATCH($C13,Takeoff_In!$A$2:$A$300,0)))</f>
        <v/>
      </c>
      <c r="E13" s="41" t="n"/>
      <c r="F13" s="49" t="n"/>
      <c r="G13" s="44">
        <f>IF($C13="","",IF(INDEX(Takeoff_In!$D$2:$D$300,MATCH($C13,Takeoff_In!$A$2:$A$300,0))="",NA(),INDEX(Takeoff_In!$D$2:$D$300,MATCH($C13,Takeoff_In!$A$2:$A$300,0))))</f>
        <v/>
      </c>
      <c r="H13" s="44">
        <f>IF($C13="","",IF(INDEX(Takeoff_In!$E$2:$E$300,MATCH($C13,Takeoff_In!$A$2:$A$300,0))="",NA(),INDEX(Takeoff_In!$E$2:$E$300,MATCH($C13,Takeoff_In!$A$2:$A$300,0))))</f>
        <v/>
      </c>
      <c r="I13" s="45">
        <f>IF($C13="",0,IF(AND(ISNUMBER($F13),$F13&gt;0),G13/$F13,NA()))</f>
        <v/>
      </c>
      <c r="J13" s="45">
        <f>IF($C13="",0,IF(AND(ISNUMBER($F13),$F13&gt;0),H13/$F13,NA()))</f>
        <v/>
      </c>
      <c r="K13" s="46">
        <f>IF($C13="",0,INDEX(Crews!$H$2:$H$20,MATCH($E13,Crews!$A$2:$A$20,0)))</f>
        <v/>
      </c>
      <c r="L13" s="46">
        <f>IF($C13="",0,I13*K13)</f>
        <v/>
      </c>
      <c r="M13" s="46">
        <f>IF($C13="",0,J13*K13)</f>
        <v/>
      </c>
      <c r="N13" s="46">
        <f>IF($C13="",0,IF(G13=0,0,L13/G13))</f>
        <v/>
      </c>
      <c r="O13" s="48" t="n"/>
    </row>
    <row r="14" ht="15" customHeight="1" s="26">
      <c r="A14" s="37" t="n"/>
      <c r="B14" s="48" t="n"/>
      <c r="C14" s="48" t="n"/>
      <c r="D14" s="37">
        <f>IF($C14="","",INDEX(Takeoff_In!$C$2:$C$300,MATCH($C14,Takeoff_In!$A$2:$A$300,0)))</f>
        <v/>
      </c>
      <c r="E14" s="41" t="n"/>
      <c r="F14" s="49" t="n"/>
      <c r="G14" s="44">
        <f>IF($C14="","",IF(INDEX(Takeoff_In!$D$2:$D$300,MATCH($C14,Takeoff_In!$A$2:$A$300,0))="",NA(),INDEX(Takeoff_In!$D$2:$D$300,MATCH($C14,Takeoff_In!$A$2:$A$300,0))))</f>
        <v/>
      </c>
      <c r="H14" s="44">
        <f>IF($C14="","",IF(INDEX(Takeoff_In!$E$2:$E$300,MATCH($C14,Takeoff_In!$A$2:$A$300,0))="",NA(),INDEX(Takeoff_In!$E$2:$E$300,MATCH($C14,Takeoff_In!$A$2:$A$300,0))))</f>
        <v/>
      </c>
      <c r="I14" s="45">
        <f>IF($C14="",0,IF(AND(ISNUMBER($F14),$F14&gt;0),G14/$F14,NA()))</f>
        <v/>
      </c>
      <c r="J14" s="45">
        <f>IF($C14="",0,IF(AND(ISNUMBER($F14),$F14&gt;0),H14/$F14,NA()))</f>
        <v/>
      </c>
      <c r="K14" s="46">
        <f>IF($C14="",0,INDEX(Crews!$H$2:$H$20,MATCH($E14,Crews!$A$2:$A$20,0)))</f>
        <v/>
      </c>
      <c r="L14" s="46">
        <f>IF($C14="",0,I14*K14)</f>
        <v/>
      </c>
      <c r="M14" s="46">
        <f>IF($C14="",0,J14*K14)</f>
        <v/>
      </c>
      <c r="N14" s="46">
        <f>IF($C14="",0,IF(G14=0,0,L14/G14))</f>
        <v/>
      </c>
      <c r="O14" s="48" t="n"/>
    </row>
    <row r="15" ht="15" customHeight="1" s="26">
      <c r="A15" s="37" t="n"/>
      <c r="B15" s="48" t="n"/>
      <c r="C15" s="48" t="n"/>
      <c r="D15" s="37">
        <f>IF($C15="","",INDEX(Takeoff_In!$C$2:$C$300,MATCH($C15,Takeoff_In!$A$2:$A$300,0)))</f>
        <v/>
      </c>
      <c r="E15" s="41" t="n"/>
      <c r="F15" s="49" t="n"/>
      <c r="G15" s="44">
        <f>IF($C15="","",IF(INDEX(Takeoff_In!$D$2:$D$300,MATCH($C15,Takeoff_In!$A$2:$A$300,0))="",NA(),INDEX(Takeoff_In!$D$2:$D$300,MATCH($C15,Takeoff_In!$A$2:$A$300,0))))</f>
        <v/>
      </c>
      <c r="H15" s="44">
        <f>IF($C15="","",IF(INDEX(Takeoff_In!$E$2:$E$300,MATCH($C15,Takeoff_In!$A$2:$A$300,0))="",NA(),INDEX(Takeoff_In!$E$2:$E$300,MATCH($C15,Takeoff_In!$A$2:$A$300,0))))</f>
        <v/>
      </c>
      <c r="I15" s="45">
        <f>IF($C15="",0,IF(AND(ISNUMBER($F15),$F15&gt;0),G15/$F15,NA()))</f>
        <v/>
      </c>
      <c r="J15" s="45">
        <f>IF($C15="",0,IF(AND(ISNUMBER($F15),$F15&gt;0),H15/$F15,NA()))</f>
        <v/>
      </c>
      <c r="K15" s="46">
        <f>IF($C15="",0,INDEX(Crews!$H$2:$H$20,MATCH($E15,Crews!$A$2:$A$20,0)))</f>
        <v/>
      </c>
      <c r="L15" s="46">
        <f>IF($C15="",0,I15*K15)</f>
        <v/>
      </c>
      <c r="M15" s="46">
        <f>IF($C15="",0,J15*K15)</f>
        <v/>
      </c>
      <c r="N15" s="46">
        <f>IF($C15="",0,IF(G15=0,0,L15/G15))</f>
        <v/>
      </c>
      <c r="O15" s="48" t="n"/>
    </row>
    <row r="16" ht="15" customHeight="1" s="26">
      <c r="A16" s="37" t="n"/>
      <c r="B16" s="48" t="n"/>
      <c r="C16" s="48" t="n"/>
      <c r="D16" s="37">
        <f>IF($C16="","",INDEX(Takeoff_In!$C$2:$C$300,MATCH($C16,Takeoff_In!$A$2:$A$300,0)))</f>
        <v/>
      </c>
      <c r="E16" s="41" t="n"/>
      <c r="F16" s="49" t="n"/>
      <c r="G16" s="44">
        <f>IF($C16="","",IF(INDEX(Takeoff_In!$D$2:$D$300,MATCH($C16,Takeoff_In!$A$2:$A$300,0))="",NA(),INDEX(Takeoff_In!$D$2:$D$300,MATCH($C16,Takeoff_In!$A$2:$A$300,0))))</f>
        <v/>
      </c>
      <c r="H16" s="44">
        <f>IF($C16="","",IF(INDEX(Takeoff_In!$E$2:$E$300,MATCH($C16,Takeoff_In!$A$2:$A$300,0))="",NA(),INDEX(Takeoff_In!$E$2:$E$300,MATCH($C16,Takeoff_In!$A$2:$A$300,0))))</f>
        <v/>
      </c>
      <c r="I16" s="45">
        <f>IF($C16="",0,IF(AND(ISNUMBER($F16),$F16&gt;0),G16/$F16,NA()))</f>
        <v/>
      </c>
      <c r="J16" s="45">
        <f>IF($C16="",0,IF(AND(ISNUMBER($F16),$F16&gt;0),H16/$F16,NA()))</f>
        <v/>
      </c>
      <c r="K16" s="46">
        <f>IF($C16="",0,INDEX(Crews!$H$2:$H$20,MATCH($E16,Crews!$A$2:$A$20,0)))</f>
        <v/>
      </c>
      <c r="L16" s="46">
        <f>IF($C16="",0,I16*K16)</f>
        <v/>
      </c>
      <c r="M16" s="46">
        <f>IF($C16="",0,J16*K16)</f>
        <v/>
      </c>
      <c r="N16" s="46">
        <f>IF($C16="",0,IF(G16=0,0,L16/G16))</f>
        <v/>
      </c>
      <c r="O16" s="48" t="n"/>
    </row>
    <row r="17" ht="15" customHeight="1" s="26">
      <c r="A17" s="37" t="n"/>
      <c r="B17" s="48" t="n"/>
      <c r="C17" s="48" t="n"/>
      <c r="D17" s="37">
        <f>IF($C17="","",INDEX(Takeoff_In!$C$2:$C$300,MATCH($C17,Takeoff_In!$A$2:$A$300,0)))</f>
        <v/>
      </c>
      <c r="E17" s="41" t="n"/>
      <c r="F17" s="49" t="n"/>
      <c r="G17" s="44">
        <f>IF($C17="","",IF(INDEX(Takeoff_In!$D$2:$D$300,MATCH($C17,Takeoff_In!$A$2:$A$300,0))="",NA(),INDEX(Takeoff_In!$D$2:$D$300,MATCH($C17,Takeoff_In!$A$2:$A$300,0))))</f>
        <v/>
      </c>
      <c r="H17" s="44">
        <f>IF($C17="","",IF(INDEX(Takeoff_In!$E$2:$E$300,MATCH($C17,Takeoff_In!$A$2:$A$300,0))="",NA(),INDEX(Takeoff_In!$E$2:$E$300,MATCH($C17,Takeoff_In!$A$2:$A$300,0))))</f>
        <v/>
      </c>
      <c r="I17" s="45">
        <f>IF($C17="",0,IF(AND(ISNUMBER($F17),$F17&gt;0),G17/$F17,NA()))</f>
        <v/>
      </c>
      <c r="J17" s="45">
        <f>IF($C17="",0,IF(AND(ISNUMBER($F17),$F17&gt;0),H17/$F17,NA()))</f>
        <v/>
      </c>
      <c r="K17" s="46">
        <f>IF($C17="",0,INDEX(Crews!$H$2:$H$20,MATCH($E17,Crews!$A$2:$A$20,0)))</f>
        <v/>
      </c>
      <c r="L17" s="46">
        <f>IF($C17="",0,I17*K17)</f>
        <v/>
      </c>
      <c r="M17" s="46">
        <f>IF($C17="",0,J17*K17)</f>
        <v/>
      </c>
      <c r="N17" s="46">
        <f>IF($C17="",0,IF(G17=0,0,L17/G17))</f>
        <v/>
      </c>
      <c r="O17" s="48" t="n"/>
    </row>
    <row r="18" ht="15" customHeight="1" s="26">
      <c r="A18" s="37" t="n"/>
      <c r="B18" s="48" t="n"/>
      <c r="C18" s="48" t="n"/>
      <c r="D18" s="37">
        <f>IF($C18="","",INDEX(Takeoff_In!$C$2:$C$300,MATCH($C18,Takeoff_In!$A$2:$A$300,0)))</f>
        <v/>
      </c>
      <c r="E18" s="41" t="n"/>
      <c r="F18" s="49" t="n"/>
      <c r="G18" s="44">
        <f>IF($C18="","",IF(INDEX(Takeoff_In!$D$2:$D$300,MATCH($C18,Takeoff_In!$A$2:$A$300,0))="",NA(),INDEX(Takeoff_In!$D$2:$D$300,MATCH($C18,Takeoff_In!$A$2:$A$300,0))))</f>
        <v/>
      </c>
      <c r="H18" s="44">
        <f>IF($C18="","",IF(INDEX(Takeoff_In!$E$2:$E$300,MATCH($C18,Takeoff_In!$A$2:$A$300,0))="",NA(),INDEX(Takeoff_In!$E$2:$E$300,MATCH($C18,Takeoff_In!$A$2:$A$300,0))))</f>
        <v/>
      </c>
      <c r="I18" s="45">
        <f>IF($C18="",0,IF(AND(ISNUMBER($F18),$F18&gt;0),G18/$F18,NA()))</f>
        <v/>
      </c>
      <c r="J18" s="45">
        <f>IF($C18="",0,IF(AND(ISNUMBER($F18),$F18&gt;0),H18/$F18,NA()))</f>
        <v/>
      </c>
      <c r="K18" s="46">
        <f>IF($C18="",0,INDEX(Crews!$H$2:$H$20,MATCH($E18,Crews!$A$2:$A$20,0)))</f>
        <v/>
      </c>
      <c r="L18" s="46">
        <f>IF($C18="",0,I18*K18)</f>
        <v/>
      </c>
      <c r="M18" s="46">
        <f>IF($C18="",0,J18*K18)</f>
        <v/>
      </c>
      <c r="N18" s="46">
        <f>IF($C18="",0,IF(G18=0,0,L18/G18))</f>
        <v/>
      </c>
      <c r="O18" s="48" t="n"/>
    </row>
    <row r="19" ht="15" customHeight="1" s="26">
      <c r="A19" s="37" t="n"/>
      <c r="B19" s="48" t="n"/>
      <c r="C19" s="48" t="n"/>
      <c r="D19" s="37">
        <f>IF($C19="","",INDEX(Takeoff_In!$C$2:$C$300,MATCH($C19,Takeoff_In!$A$2:$A$300,0)))</f>
        <v/>
      </c>
      <c r="E19" s="41" t="n"/>
      <c r="F19" s="49" t="n"/>
      <c r="G19" s="44">
        <f>IF($C19="","",IF(INDEX(Takeoff_In!$D$2:$D$300,MATCH($C19,Takeoff_In!$A$2:$A$300,0))="",NA(),INDEX(Takeoff_In!$D$2:$D$300,MATCH($C19,Takeoff_In!$A$2:$A$300,0))))</f>
        <v/>
      </c>
      <c r="H19" s="44">
        <f>IF($C19="","",IF(INDEX(Takeoff_In!$E$2:$E$300,MATCH($C19,Takeoff_In!$A$2:$A$300,0))="",NA(),INDEX(Takeoff_In!$E$2:$E$300,MATCH($C19,Takeoff_In!$A$2:$A$300,0))))</f>
        <v/>
      </c>
      <c r="I19" s="45">
        <f>IF($C19="",0,IF(AND(ISNUMBER($F19),$F19&gt;0),G19/$F19,NA()))</f>
        <v/>
      </c>
      <c r="J19" s="45">
        <f>IF($C19="",0,IF(AND(ISNUMBER($F19),$F19&gt;0),H19/$F19,NA()))</f>
        <v/>
      </c>
      <c r="K19" s="46">
        <f>IF($C19="",0,INDEX(Crews!$H$2:$H$20,MATCH($E19,Crews!$A$2:$A$20,0)))</f>
        <v/>
      </c>
      <c r="L19" s="46">
        <f>IF($C19="",0,I19*K19)</f>
        <v/>
      </c>
      <c r="M19" s="46">
        <f>IF($C19="",0,J19*K19)</f>
        <v/>
      </c>
      <c r="N19" s="46">
        <f>IF($C19="",0,IF(G19=0,0,L19/G19))</f>
        <v/>
      </c>
      <c r="O19" s="48" t="n"/>
    </row>
    <row r="20" ht="15" customHeight="1" s="26">
      <c r="A20" s="37" t="n"/>
      <c r="B20" s="48" t="n"/>
      <c r="C20" s="48" t="n"/>
      <c r="D20" s="37">
        <f>IF($C20="","",INDEX(Takeoff_In!$C$2:$C$300,MATCH($C20,Takeoff_In!$A$2:$A$300,0)))</f>
        <v/>
      </c>
      <c r="E20" s="41" t="n"/>
      <c r="F20" s="49" t="n"/>
      <c r="G20" s="44">
        <f>IF($C20="","",IF(INDEX(Takeoff_In!$D$2:$D$300,MATCH($C20,Takeoff_In!$A$2:$A$300,0))="",NA(),INDEX(Takeoff_In!$D$2:$D$300,MATCH($C20,Takeoff_In!$A$2:$A$300,0))))</f>
        <v/>
      </c>
      <c r="H20" s="44">
        <f>IF($C20="","",IF(INDEX(Takeoff_In!$E$2:$E$300,MATCH($C20,Takeoff_In!$A$2:$A$300,0))="",NA(),INDEX(Takeoff_In!$E$2:$E$300,MATCH($C20,Takeoff_In!$A$2:$A$300,0))))</f>
        <v/>
      </c>
      <c r="I20" s="45">
        <f>IF($C20="",0,IF(AND(ISNUMBER($F20),$F20&gt;0),G20/$F20,NA()))</f>
        <v/>
      </c>
      <c r="J20" s="45">
        <f>IF($C20="",0,IF(AND(ISNUMBER($F20),$F20&gt;0),H20/$F20,NA()))</f>
        <v/>
      </c>
      <c r="K20" s="46">
        <f>IF($C20="",0,INDEX(Crews!$H$2:$H$20,MATCH($E20,Crews!$A$2:$A$20,0)))</f>
        <v/>
      </c>
      <c r="L20" s="46">
        <f>IF($C20="",0,I20*K20)</f>
        <v/>
      </c>
      <c r="M20" s="46">
        <f>IF($C20="",0,J20*K20)</f>
        <v/>
      </c>
      <c r="N20" s="46">
        <f>IF($C20="",0,IF(G20=0,0,L20/G20))</f>
        <v/>
      </c>
      <c r="O20" s="48" t="n"/>
    </row>
    <row r="21" ht="15" customHeight="1" s="26">
      <c r="A21" s="37" t="n"/>
      <c r="B21" s="48" t="n"/>
      <c r="C21" s="48" t="n"/>
      <c r="D21" s="37">
        <f>IF($C21="","",INDEX(Takeoff_In!$C$2:$C$300,MATCH($C21,Takeoff_In!$A$2:$A$300,0)))</f>
        <v/>
      </c>
      <c r="E21" s="41" t="n"/>
      <c r="F21" s="49" t="n"/>
      <c r="G21" s="44">
        <f>IF($C21="","",IF(INDEX(Takeoff_In!$D$2:$D$300,MATCH($C21,Takeoff_In!$A$2:$A$300,0))="",NA(),INDEX(Takeoff_In!$D$2:$D$300,MATCH($C21,Takeoff_In!$A$2:$A$300,0))))</f>
        <v/>
      </c>
      <c r="H21" s="44">
        <f>IF($C21="","",IF(INDEX(Takeoff_In!$E$2:$E$300,MATCH($C21,Takeoff_In!$A$2:$A$300,0))="",NA(),INDEX(Takeoff_In!$E$2:$E$300,MATCH($C21,Takeoff_In!$A$2:$A$300,0))))</f>
        <v/>
      </c>
      <c r="I21" s="45">
        <f>IF($C21="",0,IF(AND(ISNUMBER($F21),$F21&gt;0),G21/$F21,NA()))</f>
        <v/>
      </c>
      <c r="J21" s="45">
        <f>IF($C21="",0,IF(AND(ISNUMBER($F21),$F21&gt;0),H21/$F21,NA()))</f>
        <v/>
      </c>
      <c r="K21" s="46">
        <f>IF($C21="",0,INDEX(Crews!$H$2:$H$20,MATCH($E21,Crews!$A$2:$A$20,0)))</f>
        <v/>
      </c>
      <c r="L21" s="46">
        <f>IF($C21="",0,I21*K21)</f>
        <v/>
      </c>
      <c r="M21" s="46">
        <f>IF($C21="",0,J21*K21)</f>
        <v/>
      </c>
      <c r="N21" s="46">
        <f>IF($C21="",0,IF(G21=0,0,L21/G21))</f>
        <v/>
      </c>
      <c r="O21" s="48" t="n"/>
    </row>
    <row r="22" ht="15" customHeight="1" s="26">
      <c r="A22" s="37" t="n"/>
      <c r="B22" s="48" t="n"/>
      <c r="C22" s="48" t="n"/>
      <c r="D22" s="37">
        <f>IF($C22="","",INDEX(Takeoff_In!$C$2:$C$300,MATCH($C22,Takeoff_In!$A$2:$A$300,0)))</f>
        <v/>
      </c>
      <c r="E22" s="41" t="n"/>
      <c r="F22" s="49" t="n"/>
      <c r="G22" s="44">
        <f>IF($C22="","",IF(INDEX(Takeoff_In!$D$2:$D$300,MATCH($C22,Takeoff_In!$A$2:$A$300,0))="",NA(),INDEX(Takeoff_In!$D$2:$D$300,MATCH($C22,Takeoff_In!$A$2:$A$300,0))))</f>
        <v/>
      </c>
      <c r="H22" s="44">
        <f>IF($C22="","",IF(INDEX(Takeoff_In!$E$2:$E$300,MATCH($C22,Takeoff_In!$A$2:$A$300,0))="",NA(),INDEX(Takeoff_In!$E$2:$E$300,MATCH($C22,Takeoff_In!$A$2:$A$300,0))))</f>
        <v/>
      </c>
      <c r="I22" s="45">
        <f>IF($C22="",0,IF(AND(ISNUMBER($F22),$F22&gt;0),G22/$F22,NA()))</f>
        <v/>
      </c>
      <c r="J22" s="45">
        <f>IF($C22="",0,IF(AND(ISNUMBER($F22),$F22&gt;0),H22/$F22,NA()))</f>
        <v/>
      </c>
      <c r="K22" s="46">
        <f>IF($C22="",0,INDEX(Crews!$H$2:$H$20,MATCH($E22,Crews!$A$2:$A$20,0)))</f>
        <v/>
      </c>
      <c r="L22" s="46">
        <f>IF($C22="",0,I22*K22)</f>
        <v/>
      </c>
      <c r="M22" s="46">
        <f>IF($C22="",0,J22*K22)</f>
        <v/>
      </c>
      <c r="N22" s="46">
        <f>IF($C22="",0,IF(G22=0,0,L22/G22))</f>
        <v/>
      </c>
      <c r="O22" s="48" t="n"/>
    </row>
    <row r="23" ht="15" customHeight="1" s="26">
      <c r="A23" s="37" t="n"/>
      <c r="B23" s="48" t="n"/>
      <c r="C23" s="48" t="n"/>
      <c r="D23" s="37">
        <f>IF($C23="","",INDEX(Takeoff_In!$C$2:$C$300,MATCH($C23,Takeoff_In!$A$2:$A$300,0)))</f>
        <v/>
      </c>
      <c r="E23" s="41" t="n"/>
      <c r="F23" s="49" t="n"/>
      <c r="G23" s="44">
        <f>IF($C23="","",IF(INDEX(Takeoff_In!$D$2:$D$300,MATCH($C23,Takeoff_In!$A$2:$A$300,0))="",NA(),INDEX(Takeoff_In!$D$2:$D$300,MATCH($C23,Takeoff_In!$A$2:$A$300,0))))</f>
        <v/>
      </c>
      <c r="H23" s="44">
        <f>IF($C23="","",IF(INDEX(Takeoff_In!$E$2:$E$300,MATCH($C23,Takeoff_In!$A$2:$A$300,0))="",NA(),INDEX(Takeoff_In!$E$2:$E$300,MATCH($C23,Takeoff_In!$A$2:$A$300,0))))</f>
        <v/>
      </c>
      <c r="I23" s="45">
        <f>IF($C23="",0,IF(AND(ISNUMBER($F23),$F23&gt;0),G23/$F23,NA()))</f>
        <v/>
      </c>
      <c r="J23" s="45">
        <f>IF($C23="",0,IF(AND(ISNUMBER($F23),$F23&gt;0),H23/$F23,NA()))</f>
        <v/>
      </c>
      <c r="K23" s="46">
        <f>IF($C23="",0,INDEX(Crews!$H$2:$H$20,MATCH($E23,Crews!$A$2:$A$20,0)))</f>
        <v/>
      </c>
      <c r="L23" s="46">
        <f>IF($C23="",0,I23*K23)</f>
        <v/>
      </c>
      <c r="M23" s="46">
        <f>IF($C23="",0,J23*K23)</f>
        <v/>
      </c>
      <c r="N23" s="46">
        <f>IF($C23="",0,IF(G23=0,0,L23/G23))</f>
        <v/>
      </c>
      <c r="O23" s="48" t="n"/>
    </row>
    <row r="24" ht="15" customHeight="1" s="26">
      <c r="A24" s="37" t="n"/>
      <c r="B24" s="48" t="n"/>
      <c r="C24" s="48" t="n"/>
      <c r="D24" s="37">
        <f>IF($C24="","",INDEX(Takeoff_In!$C$2:$C$300,MATCH($C24,Takeoff_In!$A$2:$A$300,0)))</f>
        <v/>
      </c>
      <c r="E24" s="41" t="n"/>
      <c r="F24" s="49" t="n"/>
      <c r="G24" s="44">
        <f>IF($C24="","",IF(INDEX(Takeoff_In!$D$2:$D$300,MATCH($C24,Takeoff_In!$A$2:$A$300,0))="",NA(),INDEX(Takeoff_In!$D$2:$D$300,MATCH($C24,Takeoff_In!$A$2:$A$300,0))))</f>
        <v/>
      </c>
      <c r="H24" s="44">
        <f>IF($C24="","",IF(INDEX(Takeoff_In!$E$2:$E$300,MATCH($C24,Takeoff_In!$A$2:$A$300,0))="",NA(),INDEX(Takeoff_In!$E$2:$E$300,MATCH($C24,Takeoff_In!$A$2:$A$300,0))))</f>
        <v/>
      </c>
      <c r="I24" s="45">
        <f>IF($C24="",0,IF(AND(ISNUMBER($F24),$F24&gt;0),G24/$F24,NA()))</f>
        <v/>
      </c>
      <c r="J24" s="45">
        <f>IF($C24="",0,IF(AND(ISNUMBER($F24),$F24&gt;0),H24/$F24,NA()))</f>
        <v/>
      </c>
      <c r="K24" s="46">
        <f>IF($C24="",0,INDEX(Crews!$H$2:$H$20,MATCH($E24,Crews!$A$2:$A$20,0)))</f>
        <v/>
      </c>
      <c r="L24" s="46">
        <f>IF($C24="",0,I24*K24)</f>
        <v/>
      </c>
      <c r="M24" s="46">
        <f>IF($C24="",0,J24*K24)</f>
        <v/>
      </c>
      <c r="N24" s="46">
        <f>IF($C24="",0,IF(G24=0,0,L24/G24))</f>
        <v/>
      </c>
      <c r="O24" s="48" t="n"/>
    </row>
    <row r="25" ht="15" customHeight="1" s="26">
      <c r="A25" s="37" t="n"/>
      <c r="B25" s="48" t="n"/>
      <c r="C25" s="48" t="n"/>
      <c r="D25" s="37">
        <f>IF($C25="","",INDEX(Takeoff_In!$C$2:$C$300,MATCH($C25,Takeoff_In!$A$2:$A$300,0)))</f>
        <v/>
      </c>
      <c r="E25" s="41" t="n"/>
      <c r="F25" s="49" t="n"/>
      <c r="G25" s="44">
        <f>IF($C25="","",IF(INDEX(Takeoff_In!$D$2:$D$300,MATCH($C25,Takeoff_In!$A$2:$A$300,0))="",NA(),INDEX(Takeoff_In!$D$2:$D$300,MATCH($C25,Takeoff_In!$A$2:$A$300,0))))</f>
        <v/>
      </c>
      <c r="H25" s="44">
        <f>IF($C25="","",IF(INDEX(Takeoff_In!$E$2:$E$300,MATCH($C25,Takeoff_In!$A$2:$A$300,0))="",NA(),INDEX(Takeoff_In!$E$2:$E$300,MATCH($C25,Takeoff_In!$A$2:$A$300,0))))</f>
        <v/>
      </c>
      <c r="I25" s="45">
        <f>IF($C25="",0,IF(AND(ISNUMBER($F25),$F25&gt;0),G25/$F25,NA()))</f>
        <v/>
      </c>
      <c r="J25" s="45">
        <f>IF($C25="",0,IF(AND(ISNUMBER($F25),$F25&gt;0),H25/$F25,NA()))</f>
        <v/>
      </c>
      <c r="K25" s="46">
        <f>IF($C25="",0,INDEX(Crews!$H$2:$H$20,MATCH($E25,Crews!$A$2:$A$20,0)))</f>
        <v/>
      </c>
      <c r="L25" s="46">
        <f>IF($C25="",0,I25*K25)</f>
        <v/>
      </c>
      <c r="M25" s="46">
        <f>IF($C25="",0,J25*K25)</f>
        <v/>
      </c>
      <c r="N25" s="46">
        <f>IF($C25="",0,IF(G25=0,0,L25/G25))</f>
        <v/>
      </c>
      <c r="O25" s="48" t="n"/>
    </row>
    <row r="26" ht="15" customHeight="1" s="26">
      <c r="A26" s="37" t="n"/>
      <c r="B26" s="48" t="n"/>
      <c r="C26" s="48" t="n"/>
      <c r="D26" s="37">
        <f>IF($C26="","",INDEX(Takeoff_In!$C$2:$C$300,MATCH($C26,Takeoff_In!$A$2:$A$300,0)))</f>
        <v/>
      </c>
      <c r="E26" s="41" t="n"/>
      <c r="F26" s="49" t="n"/>
      <c r="G26" s="44">
        <f>IF($C26="","",IF(INDEX(Takeoff_In!$D$2:$D$300,MATCH($C26,Takeoff_In!$A$2:$A$300,0))="",NA(),INDEX(Takeoff_In!$D$2:$D$300,MATCH($C26,Takeoff_In!$A$2:$A$300,0))))</f>
        <v/>
      </c>
      <c r="H26" s="44">
        <f>IF($C26="","",IF(INDEX(Takeoff_In!$E$2:$E$300,MATCH($C26,Takeoff_In!$A$2:$A$300,0))="",NA(),INDEX(Takeoff_In!$E$2:$E$300,MATCH($C26,Takeoff_In!$A$2:$A$300,0))))</f>
        <v/>
      </c>
      <c r="I26" s="45">
        <f>IF($C26="",0,IF(AND(ISNUMBER($F26),$F26&gt;0),G26/$F26,NA()))</f>
        <v/>
      </c>
      <c r="J26" s="45">
        <f>IF($C26="",0,IF(AND(ISNUMBER($F26),$F26&gt;0),H26/$F26,NA()))</f>
        <v/>
      </c>
      <c r="K26" s="46">
        <f>IF($C26="",0,INDEX(Crews!$H$2:$H$20,MATCH($E26,Crews!$A$2:$A$20,0)))</f>
        <v/>
      </c>
      <c r="L26" s="46">
        <f>IF($C26="",0,I26*K26)</f>
        <v/>
      </c>
      <c r="M26" s="46">
        <f>IF($C26="",0,J26*K26)</f>
        <v/>
      </c>
      <c r="N26" s="46">
        <f>IF($C26="",0,IF(G26=0,0,L26/G26))</f>
        <v/>
      </c>
      <c r="O26" s="48" t="n"/>
    </row>
    <row r="27" ht="15" customHeight="1" s="26">
      <c r="A27" s="37" t="n"/>
      <c r="B27" s="48" t="n"/>
      <c r="C27" s="48" t="n"/>
      <c r="D27" s="37">
        <f>IF($C27="","",INDEX(Takeoff_In!$C$2:$C$300,MATCH($C27,Takeoff_In!$A$2:$A$300,0)))</f>
        <v/>
      </c>
      <c r="E27" s="41" t="n"/>
      <c r="F27" s="49" t="n"/>
      <c r="G27" s="44">
        <f>IF($C27="","",IF(INDEX(Takeoff_In!$D$2:$D$300,MATCH($C27,Takeoff_In!$A$2:$A$300,0))="",NA(),INDEX(Takeoff_In!$D$2:$D$300,MATCH($C27,Takeoff_In!$A$2:$A$300,0))))</f>
        <v/>
      </c>
      <c r="H27" s="44">
        <f>IF($C27="","",IF(INDEX(Takeoff_In!$E$2:$E$300,MATCH($C27,Takeoff_In!$A$2:$A$300,0))="",NA(),INDEX(Takeoff_In!$E$2:$E$300,MATCH($C27,Takeoff_In!$A$2:$A$300,0))))</f>
        <v/>
      </c>
      <c r="I27" s="45">
        <f>IF($C27="",0,IF(AND(ISNUMBER($F27),$F27&gt;0),G27/$F27,NA()))</f>
        <v/>
      </c>
      <c r="J27" s="45">
        <f>IF($C27="",0,IF(AND(ISNUMBER($F27),$F27&gt;0),H27/$F27,NA()))</f>
        <v/>
      </c>
      <c r="K27" s="46">
        <f>IF($C27="",0,INDEX(Crews!$H$2:$H$20,MATCH($E27,Crews!$A$2:$A$20,0)))</f>
        <v/>
      </c>
      <c r="L27" s="46">
        <f>IF($C27="",0,I27*K27)</f>
        <v/>
      </c>
      <c r="M27" s="46">
        <f>IF($C27="",0,J27*K27)</f>
        <v/>
      </c>
      <c r="N27" s="46">
        <f>IF($C27="",0,IF(G27=0,0,L27/G27))</f>
        <v/>
      </c>
      <c r="O27" s="48" t="n"/>
    </row>
    <row r="28" ht="15" customHeight="1" s="26">
      <c r="A28" s="37" t="n"/>
      <c r="B28" s="48" t="n"/>
      <c r="C28" s="48" t="n"/>
      <c r="D28" s="37">
        <f>IF($C28="","",INDEX(Takeoff_In!$C$2:$C$300,MATCH($C28,Takeoff_In!$A$2:$A$300,0)))</f>
        <v/>
      </c>
      <c r="E28" s="41" t="n"/>
      <c r="F28" s="49" t="n"/>
      <c r="G28" s="44">
        <f>IF($C28="","",IF(INDEX(Takeoff_In!$D$2:$D$300,MATCH($C28,Takeoff_In!$A$2:$A$300,0))="",NA(),INDEX(Takeoff_In!$D$2:$D$300,MATCH($C28,Takeoff_In!$A$2:$A$300,0))))</f>
        <v/>
      </c>
      <c r="H28" s="44">
        <f>IF($C28="","",IF(INDEX(Takeoff_In!$E$2:$E$300,MATCH($C28,Takeoff_In!$A$2:$A$300,0))="",NA(),INDEX(Takeoff_In!$E$2:$E$300,MATCH($C28,Takeoff_In!$A$2:$A$300,0))))</f>
        <v/>
      </c>
      <c r="I28" s="45">
        <f>IF($C28="",0,IF(AND(ISNUMBER($F28),$F28&gt;0),G28/$F28,NA()))</f>
        <v/>
      </c>
      <c r="J28" s="45">
        <f>IF($C28="",0,IF(AND(ISNUMBER($F28),$F28&gt;0),H28/$F28,NA()))</f>
        <v/>
      </c>
      <c r="K28" s="46">
        <f>IF($C28="",0,INDEX(Crews!$H$2:$H$20,MATCH($E28,Crews!$A$2:$A$20,0)))</f>
        <v/>
      </c>
      <c r="L28" s="46">
        <f>IF($C28="",0,I28*K28)</f>
        <v/>
      </c>
      <c r="M28" s="46">
        <f>IF($C28="",0,J28*K28)</f>
        <v/>
      </c>
      <c r="N28" s="46">
        <f>IF($C28="",0,IF(G28=0,0,L28/G28))</f>
        <v/>
      </c>
      <c r="O28" s="48" t="n"/>
    </row>
    <row r="29" ht="15" customHeight="1" s="26">
      <c r="A29" s="37" t="n"/>
      <c r="B29" s="48" t="n"/>
      <c r="C29" s="48" t="n"/>
      <c r="D29" s="37">
        <f>IF($C29="","",INDEX(Takeoff_In!$C$2:$C$300,MATCH($C29,Takeoff_In!$A$2:$A$300,0)))</f>
        <v/>
      </c>
      <c r="E29" s="41" t="n"/>
      <c r="F29" s="49" t="n"/>
      <c r="G29" s="44">
        <f>IF($C29="","",IF(INDEX(Takeoff_In!$D$2:$D$300,MATCH($C29,Takeoff_In!$A$2:$A$300,0))="",NA(),INDEX(Takeoff_In!$D$2:$D$300,MATCH($C29,Takeoff_In!$A$2:$A$300,0))))</f>
        <v/>
      </c>
      <c r="H29" s="44">
        <f>IF($C29="","",IF(INDEX(Takeoff_In!$E$2:$E$300,MATCH($C29,Takeoff_In!$A$2:$A$300,0))="",NA(),INDEX(Takeoff_In!$E$2:$E$300,MATCH($C29,Takeoff_In!$A$2:$A$300,0))))</f>
        <v/>
      </c>
      <c r="I29" s="45">
        <f>IF($C29="",0,IF(AND(ISNUMBER($F29),$F29&gt;0),G29/$F29,NA()))</f>
        <v/>
      </c>
      <c r="J29" s="45">
        <f>IF($C29="",0,IF(AND(ISNUMBER($F29),$F29&gt;0),H29/$F29,NA()))</f>
        <v/>
      </c>
      <c r="K29" s="46">
        <f>IF($C29="",0,INDEX(Crews!$H$2:$H$20,MATCH($E29,Crews!$A$2:$A$20,0)))</f>
        <v/>
      </c>
      <c r="L29" s="46">
        <f>IF($C29="",0,I29*K29)</f>
        <v/>
      </c>
      <c r="M29" s="46">
        <f>IF($C29="",0,J29*K29)</f>
        <v/>
      </c>
      <c r="N29" s="46">
        <f>IF($C29="",0,IF(G29=0,0,L29/G29))</f>
        <v/>
      </c>
      <c r="O29" s="48" t="n"/>
    </row>
    <row r="30" ht="15" customHeight="1" s="26">
      <c r="A30" s="37" t="n"/>
      <c r="B30" s="48" t="n"/>
      <c r="C30" s="48" t="n"/>
      <c r="D30" s="37">
        <f>IF($C30="","",INDEX(Takeoff_In!$C$2:$C$300,MATCH($C30,Takeoff_In!$A$2:$A$300,0)))</f>
        <v/>
      </c>
      <c r="E30" s="41" t="n"/>
      <c r="F30" s="49" t="n"/>
      <c r="G30" s="44">
        <f>IF($C30="","",IF(INDEX(Takeoff_In!$D$2:$D$300,MATCH($C30,Takeoff_In!$A$2:$A$300,0))="",NA(),INDEX(Takeoff_In!$D$2:$D$300,MATCH($C30,Takeoff_In!$A$2:$A$300,0))))</f>
        <v/>
      </c>
      <c r="H30" s="44">
        <f>IF($C30="","",IF(INDEX(Takeoff_In!$E$2:$E$300,MATCH($C30,Takeoff_In!$A$2:$A$300,0))="",NA(),INDEX(Takeoff_In!$E$2:$E$300,MATCH($C30,Takeoff_In!$A$2:$A$300,0))))</f>
        <v/>
      </c>
      <c r="I30" s="45">
        <f>IF($C30="",0,IF(AND(ISNUMBER($F30),$F30&gt;0),G30/$F30,NA()))</f>
        <v/>
      </c>
      <c r="J30" s="45">
        <f>IF($C30="",0,IF(AND(ISNUMBER($F30),$F30&gt;0),H30/$F30,NA()))</f>
        <v/>
      </c>
      <c r="K30" s="46">
        <f>IF($C30="",0,INDEX(Crews!$H$2:$H$20,MATCH($E30,Crews!$A$2:$A$20,0)))</f>
        <v/>
      </c>
      <c r="L30" s="46">
        <f>IF($C30="",0,I30*K30)</f>
        <v/>
      </c>
      <c r="M30" s="46">
        <f>IF($C30="",0,J30*K30)</f>
        <v/>
      </c>
      <c r="N30" s="46">
        <f>IF($C30="",0,IF(G30=0,0,L30/G30))</f>
        <v/>
      </c>
      <c r="O30" s="48" t="n"/>
    </row>
    <row r="31" ht="15" customHeight="1" s="26">
      <c r="A31" s="37" t="n"/>
      <c r="B31" s="48" t="n"/>
      <c r="C31" s="48" t="n"/>
      <c r="D31" s="37">
        <f>IF($C31="","",INDEX(Takeoff_In!$C$2:$C$300,MATCH($C31,Takeoff_In!$A$2:$A$300,0)))</f>
        <v/>
      </c>
      <c r="E31" s="41" t="n"/>
      <c r="F31" s="49" t="n"/>
      <c r="G31" s="44">
        <f>IF($C31="","",IF(INDEX(Takeoff_In!$D$2:$D$300,MATCH($C31,Takeoff_In!$A$2:$A$300,0))="",NA(),INDEX(Takeoff_In!$D$2:$D$300,MATCH($C31,Takeoff_In!$A$2:$A$300,0))))</f>
        <v/>
      </c>
      <c r="H31" s="44">
        <f>IF($C31="","",IF(INDEX(Takeoff_In!$E$2:$E$300,MATCH($C31,Takeoff_In!$A$2:$A$300,0))="",NA(),INDEX(Takeoff_In!$E$2:$E$300,MATCH($C31,Takeoff_In!$A$2:$A$300,0))))</f>
        <v/>
      </c>
      <c r="I31" s="45">
        <f>IF($C31="",0,IF(AND(ISNUMBER($F31),$F31&gt;0),G31/$F31,NA()))</f>
        <v/>
      </c>
      <c r="J31" s="45">
        <f>IF($C31="",0,IF(AND(ISNUMBER($F31),$F31&gt;0),H31/$F31,NA()))</f>
        <v/>
      </c>
      <c r="K31" s="46">
        <f>IF($C31="",0,INDEX(Crews!$H$2:$H$20,MATCH($E31,Crews!$A$2:$A$20,0)))</f>
        <v/>
      </c>
      <c r="L31" s="46">
        <f>IF($C31="",0,I31*K31)</f>
        <v/>
      </c>
      <c r="M31" s="46">
        <f>IF($C31="",0,J31*K31)</f>
        <v/>
      </c>
      <c r="N31" s="46">
        <f>IF($C31="",0,IF(G31=0,0,L31/G31))</f>
        <v/>
      </c>
      <c r="O31" s="48" t="n"/>
    </row>
    <row r="32" ht="15" customHeight="1" s="26">
      <c r="A32" s="37" t="n"/>
      <c r="B32" s="48" t="n"/>
      <c r="C32" s="48" t="n"/>
      <c r="D32" s="37">
        <f>IF($C32="","",INDEX(Takeoff_In!$C$2:$C$300,MATCH($C32,Takeoff_In!$A$2:$A$300,0)))</f>
        <v/>
      </c>
      <c r="E32" s="41" t="n"/>
      <c r="F32" s="49" t="n"/>
      <c r="G32" s="44">
        <f>IF($C32="","",IF(INDEX(Takeoff_In!$D$2:$D$300,MATCH($C32,Takeoff_In!$A$2:$A$300,0))="",NA(),INDEX(Takeoff_In!$D$2:$D$300,MATCH($C32,Takeoff_In!$A$2:$A$300,0))))</f>
        <v/>
      </c>
      <c r="H32" s="44">
        <f>IF($C32="","",IF(INDEX(Takeoff_In!$E$2:$E$300,MATCH($C32,Takeoff_In!$A$2:$A$300,0))="",NA(),INDEX(Takeoff_In!$E$2:$E$300,MATCH($C32,Takeoff_In!$A$2:$A$300,0))))</f>
        <v/>
      </c>
      <c r="I32" s="45">
        <f>IF($C32="",0,IF(AND(ISNUMBER($F32),$F32&gt;0),G32/$F32,NA()))</f>
        <v/>
      </c>
      <c r="J32" s="45">
        <f>IF($C32="",0,IF(AND(ISNUMBER($F32),$F32&gt;0),H32/$F32,NA()))</f>
        <v/>
      </c>
      <c r="K32" s="46">
        <f>IF($C32="",0,INDEX(Crews!$H$2:$H$20,MATCH($E32,Crews!$A$2:$A$20,0)))</f>
        <v/>
      </c>
      <c r="L32" s="46">
        <f>IF($C32="",0,I32*K32)</f>
        <v/>
      </c>
      <c r="M32" s="46">
        <f>IF($C32="",0,J32*K32)</f>
        <v/>
      </c>
      <c r="N32" s="46">
        <f>IF($C32="",0,IF(G32=0,0,L32/G32))</f>
        <v/>
      </c>
      <c r="O32" s="48" t="n"/>
    </row>
    <row r="33" ht="15" customHeight="1" s="26">
      <c r="A33" s="37" t="n"/>
      <c r="B33" s="48" t="n"/>
      <c r="C33" s="48" t="n"/>
      <c r="D33" s="37">
        <f>IF($C33="","",INDEX(Takeoff_In!$C$2:$C$300,MATCH($C33,Takeoff_In!$A$2:$A$300,0)))</f>
        <v/>
      </c>
      <c r="E33" s="41" t="n"/>
      <c r="F33" s="49" t="n"/>
      <c r="G33" s="44">
        <f>IF($C33="","",IF(INDEX(Takeoff_In!$D$2:$D$300,MATCH($C33,Takeoff_In!$A$2:$A$300,0))="",NA(),INDEX(Takeoff_In!$D$2:$D$300,MATCH($C33,Takeoff_In!$A$2:$A$300,0))))</f>
        <v/>
      </c>
      <c r="H33" s="44">
        <f>IF($C33="","",IF(INDEX(Takeoff_In!$E$2:$E$300,MATCH($C33,Takeoff_In!$A$2:$A$300,0))="",NA(),INDEX(Takeoff_In!$E$2:$E$300,MATCH($C33,Takeoff_In!$A$2:$A$300,0))))</f>
        <v/>
      </c>
      <c r="I33" s="45">
        <f>IF($C33="",0,IF(AND(ISNUMBER($F33),$F33&gt;0),G33/$F33,NA()))</f>
        <v/>
      </c>
      <c r="J33" s="45">
        <f>IF($C33="",0,IF(AND(ISNUMBER($F33),$F33&gt;0),H33/$F33,NA()))</f>
        <v/>
      </c>
      <c r="K33" s="46">
        <f>IF($C33="",0,INDEX(Crews!$H$2:$H$20,MATCH($E33,Crews!$A$2:$A$20,0)))</f>
        <v/>
      </c>
      <c r="L33" s="46">
        <f>IF($C33="",0,I33*K33)</f>
        <v/>
      </c>
      <c r="M33" s="46">
        <f>IF($C33="",0,J33*K33)</f>
        <v/>
      </c>
      <c r="N33" s="46">
        <f>IF($C33="",0,IF(G33=0,0,L33/G33))</f>
        <v/>
      </c>
      <c r="O33" s="48" t="n"/>
    </row>
    <row r="34" ht="15" customHeight="1" s="26">
      <c r="A34" s="37" t="n"/>
      <c r="B34" s="48" t="n"/>
      <c r="C34" s="48" t="n"/>
      <c r="D34" s="37">
        <f>IF($C34="","",INDEX(Takeoff_In!$C$2:$C$300,MATCH($C34,Takeoff_In!$A$2:$A$300,0)))</f>
        <v/>
      </c>
      <c r="E34" s="41" t="n"/>
      <c r="F34" s="49" t="n"/>
      <c r="G34" s="44">
        <f>IF($C34="","",IF(INDEX(Takeoff_In!$D$2:$D$300,MATCH($C34,Takeoff_In!$A$2:$A$300,0))="",NA(),INDEX(Takeoff_In!$D$2:$D$300,MATCH($C34,Takeoff_In!$A$2:$A$300,0))))</f>
        <v/>
      </c>
      <c r="H34" s="44">
        <f>IF($C34="","",IF(INDEX(Takeoff_In!$E$2:$E$300,MATCH($C34,Takeoff_In!$A$2:$A$300,0))="",NA(),INDEX(Takeoff_In!$E$2:$E$300,MATCH($C34,Takeoff_In!$A$2:$A$300,0))))</f>
        <v/>
      </c>
      <c r="I34" s="45">
        <f>IF($C34="",0,IF(AND(ISNUMBER($F34),$F34&gt;0),G34/$F34,NA()))</f>
        <v/>
      </c>
      <c r="J34" s="45">
        <f>IF($C34="",0,IF(AND(ISNUMBER($F34),$F34&gt;0),H34/$F34,NA()))</f>
        <v/>
      </c>
      <c r="K34" s="46">
        <f>IF($C34="",0,INDEX(Crews!$H$2:$H$20,MATCH($E34,Crews!$A$2:$A$20,0)))</f>
        <v/>
      </c>
      <c r="L34" s="46">
        <f>IF($C34="",0,I34*K34)</f>
        <v/>
      </c>
      <c r="M34" s="46">
        <f>IF($C34="",0,J34*K34)</f>
        <v/>
      </c>
      <c r="N34" s="46">
        <f>IF($C34="",0,IF(G34=0,0,L34/G34))</f>
        <v/>
      </c>
      <c r="O34" s="48" t="n"/>
    </row>
    <row r="35" ht="15" customHeight="1" s="26">
      <c r="A35" s="37" t="n"/>
      <c r="B35" s="48" t="n"/>
      <c r="C35" s="48" t="n"/>
      <c r="D35" s="37">
        <f>IF($C35="","",INDEX(Takeoff_In!$C$2:$C$300,MATCH($C35,Takeoff_In!$A$2:$A$300,0)))</f>
        <v/>
      </c>
      <c r="E35" s="41" t="n"/>
      <c r="F35" s="49" t="n"/>
      <c r="G35" s="44">
        <f>IF($C35="","",IF(INDEX(Takeoff_In!$D$2:$D$300,MATCH($C35,Takeoff_In!$A$2:$A$300,0))="",NA(),INDEX(Takeoff_In!$D$2:$D$300,MATCH($C35,Takeoff_In!$A$2:$A$300,0))))</f>
        <v/>
      </c>
      <c r="H35" s="44">
        <f>IF($C35="","",IF(INDEX(Takeoff_In!$E$2:$E$300,MATCH($C35,Takeoff_In!$A$2:$A$300,0))="",NA(),INDEX(Takeoff_In!$E$2:$E$300,MATCH($C35,Takeoff_In!$A$2:$A$300,0))))</f>
        <v/>
      </c>
      <c r="I35" s="45">
        <f>IF($C35="",0,IF(AND(ISNUMBER($F35),$F35&gt;0),G35/$F35,NA()))</f>
        <v/>
      </c>
      <c r="J35" s="45">
        <f>IF($C35="",0,IF(AND(ISNUMBER($F35),$F35&gt;0),H35/$F35,NA()))</f>
        <v/>
      </c>
      <c r="K35" s="46">
        <f>IF($C35="",0,INDEX(Crews!$H$2:$H$20,MATCH($E35,Crews!$A$2:$A$20,0)))</f>
        <v/>
      </c>
      <c r="L35" s="46">
        <f>IF($C35="",0,I35*K35)</f>
        <v/>
      </c>
      <c r="M35" s="46">
        <f>IF($C35="",0,J35*K35)</f>
        <v/>
      </c>
      <c r="N35" s="46">
        <f>IF($C35="",0,IF(G35=0,0,L35/G35))</f>
        <v/>
      </c>
      <c r="O35" s="48" t="n"/>
    </row>
    <row r="36" ht="15" customHeight="1" s="26">
      <c r="A36" s="37" t="n"/>
      <c r="B36" s="48" t="n"/>
      <c r="C36" s="48" t="n"/>
      <c r="D36" s="37">
        <f>IF($C36="","",INDEX(Takeoff_In!$C$2:$C$300,MATCH($C36,Takeoff_In!$A$2:$A$300,0)))</f>
        <v/>
      </c>
      <c r="E36" s="41" t="n"/>
      <c r="F36" s="49" t="n"/>
      <c r="G36" s="44">
        <f>IF($C36="","",IF(INDEX(Takeoff_In!$D$2:$D$300,MATCH($C36,Takeoff_In!$A$2:$A$300,0))="",NA(),INDEX(Takeoff_In!$D$2:$D$300,MATCH($C36,Takeoff_In!$A$2:$A$300,0))))</f>
        <v/>
      </c>
      <c r="H36" s="44">
        <f>IF($C36="","",IF(INDEX(Takeoff_In!$E$2:$E$300,MATCH($C36,Takeoff_In!$A$2:$A$300,0))="",NA(),INDEX(Takeoff_In!$E$2:$E$300,MATCH($C36,Takeoff_In!$A$2:$A$300,0))))</f>
        <v/>
      </c>
      <c r="I36" s="45">
        <f>IF($C36="",0,IF(AND(ISNUMBER($F36),$F36&gt;0),G36/$F36,NA()))</f>
        <v/>
      </c>
      <c r="J36" s="45">
        <f>IF($C36="",0,IF(AND(ISNUMBER($F36),$F36&gt;0),H36/$F36,NA()))</f>
        <v/>
      </c>
      <c r="K36" s="46">
        <f>IF($C36="",0,INDEX(Crews!$H$2:$H$20,MATCH($E36,Crews!$A$2:$A$20,0)))</f>
        <v/>
      </c>
      <c r="L36" s="46">
        <f>IF($C36="",0,I36*K36)</f>
        <v/>
      </c>
      <c r="M36" s="46">
        <f>IF($C36="",0,J36*K36)</f>
        <v/>
      </c>
      <c r="N36" s="46">
        <f>IF($C36="",0,IF(G36=0,0,L36/G36))</f>
        <v/>
      </c>
      <c r="O36" s="48" t="n"/>
    </row>
    <row r="37" ht="15" customHeight="1" s="26">
      <c r="A37" s="37" t="n"/>
      <c r="B37" s="48" t="n"/>
      <c r="C37" s="48" t="n"/>
      <c r="D37" s="37">
        <f>IF($C37="","",INDEX(Takeoff_In!$C$2:$C$300,MATCH($C37,Takeoff_In!$A$2:$A$300,0)))</f>
        <v/>
      </c>
      <c r="E37" s="41" t="n"/>
      <c r="F37" s="49" t="n"/>
      <c r="G37" s="44">
        <f>IF($C37="","",IF(INDEX(Takeoff_In!$D$2:$D$300,MATCH($C37,Takeoff_In!$A$2:$A$300,0))="",NA(),INDEX(Takeoff_In!$D$2:$D$300,MATCH($C37,Takeoff_In!$A$2:$A$300,0))))</f>
        <v/>
      </c>
      <c r="H37" s="44">
        <f>IF($C37="","",IF(INDEX(Takeoff_In!$E$2:$E$300,MATCH($C37,Takeoff_In!$A$2:$A$300,0))="",NA(),INDEX(Takeoff_In!$E$2:$E$300,MATCH($C37,Takeoff_In!$A$2:$A$300,0))))</f>
        <v/>
      </c>
      <c r="I37" s="45">
        <f>IF($C37="",0,IF(AND(ISNUMBER($F37),$F37&gt;0),G37/$F37,NA()))</f>
        <v/>
      </c>
      <c r="J37" s="45">
        <f>IF($C37="",0,IF(AND(ISNUMBER($F37),$F37&gt;0),H37/$F37,NA()))</f>
        <v/>
      </c>
      <c r="K37" s="46">
        <f>IF($C37="",0,INDEX(Crews!$H$2:$H$20,MATCH($E37,Crews!$A$2:$A$20,0)))</f>
        <v/>
      </c>
      <c r="L37" s="46">
        <f>IF($C37="",0,I37*K37)</f>
        <v/>
      </c>
      <c r="M37" s="46">
        <f>IF($C37="",0,J37*K37)</f>
        <v/>
      </c>
      <c r="N37" s="46">
        <f>IF($C37="",0,IF(G37=0,0,L37/G37))</f>
        <v/>
      </c>
      <c r="O37" s="48" t="n"/>
    </row>
    <row r="38" ht="15" customHeight="1" s="26">
      <c r="A38" s="37" t="n"/>
      <c r="B38" s="48" t="n"/>
      <c r="C38" s="48" t="n"/>
      <c r="D38" s="37">
        <f>IF($C38="","",INDEX(Takeoff_In!$C$2:$C$300,MATCH($C38,Takeoff_In!$A$2:$A$300,0)))</f>
        <v/>
      </c>
      <c r="E38" s="41" t="n"/>
      <c r="F38" s="49" t="n"/>
      <c r="G38" s="44">
        <f>IF($C38="","",IF(INDEX(Takeoff_In!$D$2:$D$300,MATCH($C38,Takeoff_In!$A$2:$A$300,0))="",NA(),INDEX(Takeoff_In!$D$2:$D$300,MATCH($C38,Takeoff_In!$A$2:$A$300,0))))</f>
        <v/>
      </c>
      <c r="H38" s="44">
        <f>IF($C38="","",IF(INDEX(Takeoff_In!$E$2:$E$300,MATCH($C38,Takeoff_In!$A$2:$A$300,0))="",NA(),INDEX(Takeoff_In!$E$2:$E$300,MATCH($C38,Takeoff_In!$A$2:$A$300,0))))</f>
        <v/>
      </c>
      <c r="I38" s="45">
        <f>IF($C38="",0,IF(AND(ISNUMBER($F38),$F38&gt;0),G38/$F38,NA()))</f>
        <v/>
      </c>
      <c r="J38" s="45">
        <f>IF($C38="",0,IF(AND(ISNUMBER($F38),$F38&gt;0),H38/$F38,NA()))</f>
        <v/>
      </c>
      <c r="K38" s="46">
        <f>IF($C38="",0,INDEX(Crews!$H$2:$H$20,MATCH($E38,Crews!$A$2:$A$20,0)))</f>
        <v/>
      </c>
      <c r="L38" s="46">
        <f>IF($C38="",0,I38*K38)</f>
        <v/>
      </c>
      <c r="M38" s="46">
        <f>IF($C38="",0,J38*K38)</f>
        <v/>
      </c>
      <c r="N38" s="46">
        <f>IF($C38="",0,IF(G38=0,0,L38/G38))</f>
        <v/>
      </c>
      <c r="O38" s="48" t="n"/>
    </row>
    <row r="39" ht="15" customHeight="1" s="26">
      <c r="A39" s="37" t="n"/>
      <c r="B39" s="48" t="n"/>
      <c r="C39" s="48" t="n"/>
      <c r="D39" s="37">
        <f>IF($C39="","",INDEX(Takeoff_In!$C$2:$C$300,MATCH($C39,Takeoff_In!$A$2:$A$300,0)))</f>
        <v/>
      </c>
      <c r="E39" s="41" t="n"/>
      <c r="F39" s="49" t="n"/>
      <c r="G39" s="44">
        <f>IF($C39="","",IF(INDEX(Takeoff_In!$D$2:$D$300,MATCH($C39,Takeoff_In!$A$2:$A$300,0))="",NA(),INDEX(Takeoff_In!$D$2:$D$300,MATCH($C39,Takeoff_In!$A$2:$A$300,0))))</f>
        <v/>
      </c>
      <c r="H39" s="44">
        <f>IF($C39="","",IF(INDEX(Takeoff_In!$E$2:$E$300,MATCH($C39,Takeoff_In!$A$2:$A$300,0))="",NA(),INDEX(Takeoff_In!$E$2:$E$300,MATCH($C39,Takeoff_In!$A$2:$A$300,0))))</f>
        <v/>
      </c>
      <c r="I39" s="45">
        <f>IF($C39="",0,IF(AND(ISNUMBER($F39),$F39&gt;0),G39/$F39,NA()))</f>
        <v/>
      </c>
      <c r="J39" s="45">
        <f>IF($C39="",0,IF(AND(ISNUMBER($F39),$F39&gt;0),H39/$F39,NA()))</f>
        <v/>
      </c>
      <c r="K39" s="46">
        <f>IF($C39="",0,INDEX(Crews!$H$2:$H$20,MATCH($E39,Crews!$A$2:$A$20,0)))</f>
        <v/>
      </c>
      <c r="L39" s="46">
        <f>IF($C39="",0,I39*K39)</f>
        <v/>
      </c>
      <c r="M39" s="46">
        <f>IF($C39="",0,J39*K39)</f>
        <v/>
      </c>
      <c r="N39" s="46">
        <f>IF($C39="",0,IF(G39=0,0,L39/G39))</f>
        <v/>
      </c>
      <c r="O39" s="48" t="n"/>
    </row>
    <row r="40" ht="15" customHeight="1" s="26">
      <c r="A40" s="37" t="n"/>
      <c r="B40" s="48" t="n"/>
      <c r="C40" s="48" t="n"/>
      <c r="D40" s="37">
        <f>IF($C40="","",INDEX(Takeoff_In!$C$2:$C$300,MATCH($C40,Takeoff_In!$A$2:$A$300,0)))</f>
        <v/>
      </c>
      <c r="E40" s="41" t="n"/>
      <c r="F40" s="49" t="n"/>
      <c r="G40" s="44">
        <f>IF($C40="","",IF(INDEX(Takeoff_In!$D$2:$D$300,MATCH($C40,Takeoff_In!$A$2:$A$300,0))="",NA(),INDEX(Takeoff_In!$D$2:$D$300,MATCH($C40,Takeoff_In!$A$2:$A$300,0))))</f>
        <v/>
      </c>
      <c r="H40" s="44">
        <f>IF($C40="","",IF(INDEX(Takeoff_In!$E$2:$E$300,MATCH($C40,Takeoff_In!$A$2:$A$300,0))="",NA(),INDEX(Takeoff_In!$E$2:$E$300,MATCH($C40,Takeoff_In!$A$2:$A$300,0))))</f>
        <v/>
      </c>
      <c r="I40" s="45">
        <f>IF($C40="",0,IF(AND(ISNUMBER($F40),$F40&gt;0),G40/$F40,NA()))</f>
        <v/>
      </c>
      <c r="J40" s="45">
        <f>IF($C40="",0,IF(AND(ISNUMBER($F40),$F40&gt;0),H40/$F40,NA()))</f>
        <v/>
      </c>
      <c r="K40" s="46">
        <f>IF($C40="",0,INDEX(Crews!$H$2:$H$20,MATCH($E40,Crews!$A$2:$A$20,0)))</f>
        <v/>
      </c>
      <c r="L40" s="46">
        <f>IF($C40="",0,I40*K40)</f>
        <v/>
      </c>
      <c r="M40" s="46">
        <f>IF($C40="",0,J40*K40)</f>
        <v/>
      </c>
      <c r="N40" s="46">
        <f>IF($C40="",0,IF(G40=0,0,L40/G40))</f>
        <v/>
      </c>
      <c r="O40" s="48" t="n"/>
    </row>
    <row r="41" ht="15" customHeight="1" s="26">
      <c r="A41" s="37" t="n"/>
      <c r="B41" s="48" t="n"/>
      <c r="C41" s="48" t="n"/>
      <c r="D41" s="37">
        <f>IF($C41="","",INDEX(Takeoff_In!$C$2:$C$300,MATCH($C41,Takeoff_In!$A$2:$A$300,0)))</f>
        <v/>
      </c>
      <c r="E41" s="41" t="n"/>
      <c r="F41" s="49" t="n"/>
      <c r="G41" s="44">
        <f>IF($C41="","",IF(INDEX(Takeoff_In!$D$2:$D$300,MATCH($C41,Takeoff_In!$A$2:$A$300,0))="",NA(),INDEX(Takeoff_In!$D$2:$D$300,MATCH($C41,Takeoff_In!$A$2:$A$300,0))))</f>
        <v/>
      </c>
      <c r="H41" s="44">
        <f>IF($C41="","",IF(INDEX(Takeoff_In!$E$2:$E$300,MATCH($C41,Takeoff_In!$A$2:$A$300,0))="",NA(),INDEX(Takeoff_In!$E$2:$E$300,MATCH($C41,Takeoff_In!$A$2:$A$300,0))))</f>
        <v/>
      </c>
      <c r="I41" s="45">
        <f>IF($C41="",0,IF(AND(ISNUMBER($F41),$F41&gt;0),G41/$F41,NA()))</f>
        <v/>
      </c>
      <c r="J41" s="45">
        <f>IF($C41="",0,IF(AND(ISNUMBER($F41),$F41&gt;0),H41/$F41,NA()))</f>
        <v/>
      </c>
      <c r="K41" s="46">
        <f>IF($C41="",0,INDEX(Crews!$H$2:$H$20,MATCH($E41,Crews!$A$2:$A$20,0)))</f>
        <v/>
      </c>
      <c r="L41" s="46">
        <f>IF($C41="",0,I41*K41)</f>
        <v/>
      </c>
      <c r="M41" s="46">
        <f>IF($C41="",0,J41*K41)</f>
        <v/>
      </c>
      <c r="N41" s="46">
        <f>IF($C41="",0,IF(G41=0,0,L41/G41))</f>
        <v/>
      </c>
      <c r="O41" s="48" t="n"/>
    </row>
    <row r="42" ht="15" customHeight="1" s="26">
      <c r="A42" s="37" t="n"/>
      <c r="B42" s="48" t="n"/>
      <c r="C42" s="48" t="n"/>
      <c r="D42" s="37">
        <f>IF($C42="","",INDEX(Takeoff_In!$C$2:$C$300,MATCH($C42,Takeoff_In!$A$2:$A$300,0)))</f>
        <v/>
      </c>
      <c r="E42" s="41" t="n"/>
      <c r="F42" s="49" t="n"/>
      <c r="G42" s="44">
        <f>IF($C42="","",IF(INDEX(Takeoff_In!$D$2:$D$300,MATCH($C42,Takeoff_In!$A$2:$A$300,0))="",NA(),INDEX(Takeoff_In!$D$2:$D$300,MATCH($C42,Takeoff_In!$A$2:$A$300,0))))</f>
        <v/>
      </c>
      <c r="H42" s="44">
        <f>IF($C42="","",IF(INDEX(Takeoff_In!$E$2:$E$300,MATCH($C42,Takeoff_In!$A$2:$A$300,0))="",NA(),INDEX(Takeoff_In!$E$2:$E$300,MATCH($C42,Takeoff_In!$A$2:$A$300,0))))</f>
        <v/>
      </c>
      <c r="I42" s="45">
        <f>IF($C42="",0,IF(AND(ISNUMBER($F42),$F42&gt;0),G42/$F42,NA()))</f>
        <v/>
      </c>
      <c r="J42" s="45">
        <f>IF($C42="",0,IF(AND(ISNUMBER($F42),$F42&gt;0),H42/$F42,NA()))</f>
        <v/>
      </c>
      <c r="K42" s="46">
        <f>IF($C42="",0,INDEX(Crews!$H$2:$H$20,MATCH($E42,Crews!$A$2:$A$20,0)))</f>
        <v/>
      </c>
      <c r="L42" s="46">
        <f>IF($C42="",0,I42*K42)</f>
        <v/>
      </c>
      <c r="M42" s="46">
        <f>IF($C42="",0,J42*K42)</f>
        <v/>
      </c>
      <c r="N42" s="46">
        <f>IF($C42="",0,IF(G42=0,0,L42/G42))</f>
        <v/>
      </c>
      <c r="O42" s="48" t="n"/>
    </row>
    <row r="43" ht="15" customHeight="1" s="26">
      <c r="A43" s="37" t="n"/>
      <c r="B43" s="48" t="n"/>
      <c r="C43" s="48" t="n"/>
      <c r="D43" s="37">
        <f>IF($C43="","",INDEX(Takeoff_In!$C$2:$C$300,MATCH($C43,Takeoff_In!$A$2:$A$300,0)))</f>
        <v/>
      </c>
      <c r="E43" s="41" t="n"/>
      <c r="F43" s="49" t="n"/>
      <c r="G43" s="44">
        <f>IF($C43="","",IF(INDEX(Takeoff_In!$D$2:$D$300,MATCH($C43,Takeoff_In!$A$2:$A$300,0))="",NA(),INDEX(Takeoff_In!$D$2:$D$300,MATCH($C43,Takeoff_In!$A$2:$A$300,0))))</f>
        <v/>
      </c>
      <c r="H43" s="44">
        <f>IF($C43="","",IF(INDEX(Takeoff_In!$E$2:$E$300,MATCH($C43,Takeoff_In!$A$2:$A$300,0))="",NA(),INDEX(Takeoff_In!$E$2:$E$300,MATCH($C43,Takeoff_In!$A$2:$A$300,0))))</f>
        <v/>
      </c>
      <c r="I43" s="45">
        <f>IF($C43="",0,IF(AND(ISNUMBER($F43),$F43&gt;0),G43/$F43,NA()))</f>
        <v/>
      </c>
      <c r="J43" s="45">
        <f>IF($C43="",0,IF(AND(ISNUMBER($F43),$F43&gt;0),H43/$F43,NA()))</f>
        <v/>
      </c>
      <c r="K43" s="46">
        <f>IF($C43="",0,INDEX(Crews!$H$2:$H$20,MATCH($E43,Crews!$A$2:$A$20,0)))</f>
        <v/>
      </c>
      <c r="L43" s="46">
        <f>IF($C43="",0,I43*K43)</f>
        <v/>
      </c>
      <c r="M43" s="46">
        <f>IF($C43="",0,J43*K43)</f>
        <v/>
      </c>
      <c r="N43" s="46">
        <f>IF($C43="",0,IF(G43=0,0,L43/G43))</f>
        <v/>
      </c>
      <c r="O43" s="48" t="n"/>
    </row>
    <row r="44" ht="15" customHeight="1" s="26">
      <c r="A44" s="37" t="n"/>
      <c r="B44" s="48" t="n"/>
      <c r="C44" s="48" t="n"/>
      <c r="D44" s="37">
        <f>IF($C44="","",INDEX(Takeoff_In!$C$2:$C$300,MATCH($C44,Takeoff_In!$A$2:$A$300,0)))</f>
        <v/>
      </c>
      <c r="E44" s="41" t="n"/>
      <c r="F44" s="49" t="n"/>
      <c r="G44" s="44">
        <f>IF($C44="","",IF(INDEX(Takeoff_In!$D$2:$D$300,MATCH($C44,Takeoff_In!$A$2:$A$300,0))="",NA(),INDEX(Takeoff_In!$D$2:$D$300,MATCH($C44,Takeoff_In!$A$2:$A$300,0))))</f>
        <v/>
      </c>
      <c r="H44" s="44">
        <f>IF($C44="","",IF(INDEX(Takeoff_In!$E$2:$E$300,MATCH($C44,Takeoff_In!$A$2:$A$300,0))="",NA(),INDEX(Takeoff_In!$E$2:$E$300,MATCH($C44,Takeoff_In!$A$2:$A$300,0))))</f>
        <v/>
      </c>
      <c r="I44" s="45">
        <f>IF($C44="",0,IF(AND(ISNUMBER($F44),$F44&gt;0),G44/$F44,NA()))</f>
        <v/>
      </c>
      <c r="J44" s="45">
        <f>IF($C44="",0,IF(AND(ISNUMBER($F44),$F44&gt;0),H44/$F44,NA()))</f>
        <v/>
      </c>
      <c r="K44" s="46">
        <f>IF($C44="",0,INDEX(Crews!$H$2:$H$20,MATCH($E44,Crews!$A$2:$A$20,0)))</f>
        <v/>
      </c>
      <c r="L44" s="46">
        <f>IF($C44="",0,I44*K44)</f>
        <v/>
      </c>
      <c r="M44" s="46">
        <f>IF($C44="",0,J44*K44)</f>
        <v/>
      </c>
      <c r="N44" s="46">
        <f>IF($C44="",0,IF(G44=0,0,L44/G44))</f>
        <v/>
      </c>
      <c r="O44" s="48" t="n"/>
    </row>
    <row r="45" ht="15" customHeight="1" s="26">
      <c r="A45" s="37" t="n"/>
      <c r="B45" s="48" t="n"/>
      <c r="C45" s="48" t="n"/>
      <c r="D45" s="37">
        <f>IF($C45="","",INDEX(Takeoff_In!$C$2:$C$300,MATCH($C45,Takeoff_In!$A$2:$A$300,0)))</f>
        <v/>
      </c>
      <c r="E45" s="41" t="n"/>
      <c r="F45" s="49" t="n"/>
      <c r="G45" s="44">
        <f>IF($C45="","",IF(INDEX(Takeoff_In!$D$2:$D$300,MATCH($C45,Takeoff_In!$A$2:$A$300,0))="",NA(),INDEX(Takeoff_In!$D$2:$D$300,MATCH($C45,Takeoff_In!$A$2:$A$300,0))))</f>
        <v/>
      </c>
      <c r="H45" s="44">
        <f>IF($C45="","",IF(INDEX(Takeoff_In!$E$2:$E$300,MATCH($C45,Takeoff_In!$A$2:$A$300,0))="",NA(),INDEX(Takeoff_In!$E$2:$E$300,MATCH($C45,Takeoff_In!$A$2:$A$300,0))))</f>
        <v/>
      </c>
      <c r="I45" s="45">
        <f>IF($C45="",0,IF(AND(ISNUMBER($F45),$F45&gt;0),G45/$F45,NA()))</f>
        <v/>
      </c>
      <c r="J45" s="45">
        <f>IF($C45="",0,IF(AND(ISNUMBER($F45),$F45&gt;0),H45/$F45,NA()))</f>
        <v/>
      </c>
      <c r="K45" s="46">
        <f>IF($C45="",0,INDEX(Crews!$H$2:$H$20,MATCH($E45,Crews!$A$2:$A$20,0)))</f>
        <v/>
      </c>
      <c r="L45" s="46">
        <f>IF($C45="",0,I45*K45)</f>
        <v/>
      </c>
      <c r="M45" s="46">
        <f>IF($C45="",0,J45*K45)</f>
        <v/>
      </c>
      <c r="N45" s="46">
        <f>IF($C45="",0,IF(G45=0,0,L45/G45))</f>
        <v/>
      </c>
      <c r="O45" s="48" t="n"/>
    </row>
    <row r="46" ht="15" customHeight="1" s="26">
      <c r="A46" s="37" t="n"/>
      <c r="B46" s="48" t="n"/>
      <c r="C46" s="48" t="n"/>
      <c r="D46" s="37">
        <f>IF($C46="","",INDEX(Takeoff_In!$C$2:$C$300,MATCH($C46,Takeoff_In!$A$2:$A$300,0)))</f>
        <v/>
      </c>
      <c r="E46" s="41" t="n"/>
      <c r="F46" s="49" t="n"/>
      <c r="G46" s="44">
        <f>IF($C46="","",IF(INDEX(Takeoff_In!$D$2:$D$300,MATCH($C46,Takeoff_In!$A$2:$A$300,0))="",NA(),INDEX(Takeoff_In!$D$2:$D$300,MATCH($C46,Takeoff_In!$A$2:$A$300,0))))</f>
        <v/>
      </c>
      <c r="H46" s="44">
        <f>IF($C46="","",IF(INDEX(Takeoff_In!$E$2:$E$300,MATCH($C46,Takeoff_In!$A$2:$A$300,0))="",NA(),INDEX(Takeoff_In!$E$2:$E$300,MATCH($C46,Takeoff_In!$A$2:$A$300,0))))</f>
        <v/>
      </c>
      <c r="I46" s="45">
        <f>IF($C46="",0,IF(AND(ISNUMBER($F46),$F46&gt;0),G46/$F46,NA()))</f>
        <v/>
      </c>
      <c r="J46" s="45">
        <f>IF($C46="",0,IF(AND(ISNUMBER($F46),$F46&gt;0),H46/$F46,NA()))</f>
        <v/>
      </c>
      <c r="K46" s="46">
        <f>IF($C46="",0,INDEX(Crews!$H$2:$H$20,MATCH($E46,Crews!$A$2:$A$20,0)))</f>
        <v/>
      </c>
      <c r="L46" s="46">
        <f>IF($C46="",0,I46*K46)</f>
        <v/>
      </c>
      <c r="M46" s="46">
        <f>IF($C46="",0,J46*K46)</f>
        <v/>
      </c>
      <c r="N46" s="46">
        <f>IF($C46="",0,IF(G46=0,0,L46/G46))</f>
        <v/>
      </c>
      <c r="O46" s="48" t="n"/>
    </row>
    <row r="47" ht="15" customHeight="1" s="26">
      <c r="A47" s="37" t="n"/>
      <c r="B47" s="48" t="n"/>
      <c r="C47" s="48" t="n"/>
      <c r="D47" s="37">
        <f>IF($C47="","",INDEX(Takeoff_In!$C$2:$C$300,MATCH($C47,Takeoff_In!$A$2:$A$300,0)))</f>
        <v/>
      </c>
      <c r="E47" s="41" t="n"/>
      <c r="F47" s="49" t="n"/>
      <c r="G47" s="44">
        <f>IF($C47="","",IF(INDEX(Takeoff_In!$D$2:$D$300,MATCH($C47,Takeoff_In!$A$2:$A$300,0))="",NA(),INDEX(Takeoff_In!$D$2:$D$300,MATCH($C47,Takeoff_In!$A$2:$A$300,0))))</f>
        <v/>
      </c>
      <c r="H47" s="44">
        <f>IF($C47="","",IF(INDEX(Takeoff_In!$E$2:$E$300,MATCH($C47,Takeoff_In!$A$2:$A$300,0))="",NA(),INDEX(Takeoff_In!$E$2:$E$300,MATCH($C47,Takeoff_In!$A$2:$A$300,0))))</f>
        <v/>
      </c>
      <c r="I47" s="45">
        <f>IF($C47="",0,IF(AND(ISNUMBER($F47),$F47&gt;0),G47/$F47,NA()))</f>
        <v/>
      </c>
      <c r="J47" s="45">
        <f>IF($C47="",0,IF(AND(ISNUMBER($F47),$F47&gt;0),H47/$F47,NA()))</f>
        <v/>
      </c>
      <c r="K47" s="46">
        <f>IF($C47="",0,INDEX(Crews!$H$2:$H$20,MATCH($E47,Crews!$A$2:$A$20,0)))</f>
        <v/>
      </c>
      <c r="L47" s="46">
        <f>IF($C47="",0,I47*K47)</f>
        <v/>
      </c>
      <c r="M47" s="46">
        <f>IF($C47="",0,J47*K47)</f>
        <v/>
      </c>
      <c r="N47" s="46">
        <f>IF($C47="",0,IF(G47=0,0,L47/G47))</f>
        <v/>
      </c>
      <c r="O47" s="48" t="n"/>
    </row>
    <row r="48" ht="15" customHeight="1" s="26">
      <c r="A48" s="37" t="n"/>
      <c r="B48" s="48" t="n"/>
      <c r="C48" s="48" t="n"/>
      <c r="D48" s="37">
        <f>IF($C48="","",INDEX(Takeoff_In!$C$2:$C$300,MATCH($C48,Takeoff_In!$A$2:$A$300,0)))</f>
        <v/>
      </c>
      <c r="E48" s="41" t="n"/>
      <c r="F48" s="49" t="n"/>
      <c r="G48" s="44">
        <f>IF($C48="","",IF(INDEX(Takeoff_In!$D$2:$D$300,MATCH($C48,Takeoff_In!$A$2:$A$300,0))="",NA(),INDEX(Takeoff_In!$D$2:$D$300,MATCH($C48,Takeoff_In!$A$2:$A$300,0))))</f>
        <v/>
      </c>
      <c r="H48" s="44">
        <f>IF($C48="","",IF(INDEX(Takeoff_In!$E$2:$E$300,MATCH($C48,Takeoff_In!$A$2:$A$300,0))="",NA(),INDEX(Takeoff_In!$E$2:$E$300,MATCH($C48,Takeoff_In!$A$2:$A$300,0))))</f>
        <v/>
      </c>
      <c r="I48" s="45">
        <f>IF($C48="",0,IF(AND(ISNUMBER($F48),$F48&gt;0),G48/$F48,NA()))</f>
        <v/>
      </c>
      <c r="J48" s="45">
        <f>IF($C48="",0,IF(AND(ISNUMBER($F48),$F48&gt;0),H48/$F48,NA()))</f>
        <v/>
      </c>
      <c r="K48" s="46">
        <f>IF($C48="",0,INDEX(Crews!$H$2:$H$20,MATCH($E48,Crews!$A$2:$A$20,0)))</f>
        <v/>
      </c>
      <c r="L48" s="46">
        <f>IF($C48="",0,I48*K48)</f>
        <v/>
      </c>
      <c r="M48" s="46">
        <f>IF($C48="",0,J48*K48)</f>
        <v/>
      </c>
      <c r="N48" s="46">
        <f>IF($C48="",0,IF(G48=0,0,L48/G48))</f>
        <v/>
      </c>
      <c r="O48" s="48" t="n"/>
    </row>
    <row r="49" ht="15" customHeight="1" s="26">
      <c r="A49" s="37" t="n"/>
      <c r="B49" s="48" t="n"/>
      <c r="C49" s="48" t="n"/>
      <c r="D49" s="37">
        <f>IF($C49="","",INDEX(Takeoff_In!$C$2:$C$300,MATCH($C49,Takeoff_In!$A$2:$A$300,0)))</f>
        <v/>
      </c>
      <c r="E49" s="41" t="n"/>
      <c r="F49" s="49" t="n"/>
      <c r="G49" s="44">
        <f>IF($C49="","",IF(INDEX(Takeoff_In!$D$2:$D$300,MATCH($C49,Takeoff_In!$A$2:$A$300,0))="",NA(),INDEX(Takeoff_In!$D$2:$D$300,MATCH($C49,Takeoff_In!$A$2:$A$300,0))))</f>
        <v/>
      </c>
      <c r="H49" s="44">
        <f>IF($C49="","",IF(INDEX(Takeoff_In!$E$2:$E$300,MATCH($C49,Takeoff_In!$A$2:$A$300,0))="",NA(),INDEX(Takeoff_In!$E$2:$E$300,MATCH($C49,Takeoff_In!$A$2:$A$300,0))))</f>
        <v/>
      </c>
      <c r="I49" s="45">
        <f>IF($C49="",0,IF(AND(ISNUMBER($F49),$F49&gt;0),G49/$F49,NA()))</f>
        <v/>
      </c>
      <c r="J49" s="45">
        <f>IF($C49="",0,IF(AND(ISNUMBER($F49),$F49&gt;0),H49/$F49,NA()))</f>
        <v/>
      </c>
      <c r="K49" s="46">
        <f>IF($C49="",0,INDEX(Crews!$H$2:$H$20,MATCH($E49,Crews!$A$2:$A$20,0)))</f>
        <v/>
      </c>
      <c r="L49" s="46">
        <f>IF($C49="",0,I49*K49)</f>
        <v/>
      </c>
      <c r="M49" s="46">
        <f>IF($C49="",0,J49*K49)</f>
        <v/>
      </c>
      <c r="N49" s="46">
        <f>IF($C49="",0,IF(G49=0,0,L49/G49))</f>
        <v/>
      </c>
      <c r="O49" s="48" t="n"/>
    </row>
    <row r="50" ht="15" customHeight="1" s="26">
      <c r="A50" s="37" t="n"/>
      <c r="B50" s="48" t="n"/>
      <c r="C50" s="48" t="n"/>
      <c r="D50" s="37">
        <f>IF($C50="","",INDEX(Takeoff_In!$C$2:$C$300,MATCH($C50,Takeoff_In!$A$2:$A$300,0)))</f>
        <v/>
      </c>
      <c r="E50" s="41" t="n"/>
      <c r="F50" s="49" t="n"/>
      <c r="G50" s="44">
        <f>IF($C50="","",IF(INDEX(Takeoff_In!$D$2:$D$300,MATCH($C50,Takeoff_In!$A$2:$A$300,0))="",NA(),INDEX(Takeoff_In!$D$2:$D$300,MATCH($C50,Takeoff_In!$A$2:$A$300,0))))</f>
        <v/>
      </c>
      <c r="H50" s="44">
        <f>IF($C50="","",IF(INDEX(Takeoff_In!$E$2:$E$300,MATCH($C50,Takeoff_In!$A$2:$A$300,0))="",NA(),INDEX(Takeoff_In!$E$2:$E$300,MATCH($C50,Takeoff_In!$A$2:$A$300,0))))</f>
        <v/>
      </c>
      <c r="I50" s="45">
        <f>IF($C50="",0,IF(AND(ISNUMBER($F50),$F50&gt;0),G50/$F50,NA()))</f>
        <v/>
      </c>
      <c r="J50" s="45">
        <f>IF($C50="",0,IF(AND(ISNUMBER($F50),$F50&gt;0),H50/$F50,NA()))</f>
        <v/>
      </c>
      <c r="K50" s="46">
        <f>IF($C50="",0,INDEX(Crews!$H$2:$H$20,MATCH($E50,Crews!$A$2:$A$20,0)))</f>
        <v/>
      </c>
      <c r="L50" s="46">
        <f>IF($C50="",0,I50*K50)</f>
        <v/>
      </c>
      <c r="M50" s="46">
        <f>IF($C50="",0,J50*K50)</f>
        <v/>
      </c>
      <c r="N50" s="46">
        <f>IF($C50="",0,IF(G50=0,0,L50/G50))</f>
        <v/>
      </c>
      <c r="O50" s="48" t="n"/>
    </row>
    <row r="51" ht="15" customHeight="1" s="26">
      <c r="A51" s="37" t="n"/>
      <c r="B51" s="48" t="n"/>
      <c r="C51" s="48" t="n"/>
      <c r="D51" s="37">
        <f>IF($C51="","",INDEX(Takeoff_In!$C$2:$C$300,MATCH($C51,Takeoff_In!$A$2:$A$300,0)))</f>
        <v/>
      </c>
      <c r="E51" s="41" t="n"/>
      <c r="F51" s="49" t="n"/>
      <c r="G51" s="44">
        <f>IF($C51="","",IF(INDEX(Takeoff_In!$D$2:$D$300,MATCH($C51,Takeoff_In!$A$2:$A$300,0))="",NA(),INDEX(Takeoff_In!$D$2:$D$300,MATCH($C51,Takeoff_In!$A$2:$A$300,0))))</f>
        <v/>
      </c>
      <c r="H51" s="44">
        <f>IF($C51="","",IF(INDEX(Takeoff_In!$E$2:$E$300,MATCH($C51,Takeoff_In!$A$2:$A$300,0))="",NA(),INDEX(Takeoff_In!$E$2:$E$300,MATCH($C51,Takeoff_In!$A$2:$A$300,0))))</f>
        <v/>
      </c>
      <c r="I51" s="45">
        <f>IF($C51="",0,IF(AND(ISNUMBER($F51),$F51&gt;0),G51/$F51,NA()))</f>
        <v/>
      </c>
      <c r="J51" s="45">
        <f>IF($C51="",0,IF(AND(ISNUMBER($F51),$F51&gt;0),H51/$F51,NA()))</f>
        <v/>
      </c>
      <c r="K51" s="46">
        <f>IF($C51="",0,INDEX(Crews!$H$2:$H$20,MATCH($E51,Crews!$A$2:$A$20,0)))</f>
        <v/>
      </c>
      <c r="L51" s="46">
        <f>IF($C51="",0,I51*K51)</f>
        <v/>
      </c>
      <c r="M51" s="46">
        <f>IF($C51="",0,J51*K51)</f>
        <v/>
      </c>
      <c r="N51" s="46">
        <f>IF($C51="",0,IF(G51=0,0,L51/G51))</f>
        <v/>
      </c>
      <c r="O51" s="48" t="n"/>
    </row>
    <row r="52" ht="15" customHeight="1" s="26">
      <c r="A52" s="37" t="n"/>
      <c r="B52" s="48" t="n"/>
      <c r="C52" s="48" t="n"/>
      <c r="D52" s="37">
        <f>IF($C52="","",INDEX(Takeoff_In!$C$2:$C$300,MATCH($C52,Takeoff_In!$A$2:$A$300,0)))</f>
        <v/>
      </c>
      <c r="E52" s="41" t="n"/>
      <c r="F52" s="49" t="n"/>
      <c r="G52" s="44">
        <f>IF($C52="","",IF(INDEX(Takeoff_In!$D$2:$D$300,MATCH($C52,Takeoff_In!$A$2:$A$300,0))="",NA(),INDEX(Takeoff_In!$D$2:$D$300,MATCH($C52,Takeoff_In!$A$2:$A$300,0))))</f>
        <v/>
      </c>
      <c r="H52" s="44">
        <f>IF($C52="","",IF(INDEX(Takeoff_In!$E$2:$E$300,MATCH($C52,Takeoff_In!$A$2:$A$300,0))="",NA(),INDEX(Takeoff_In!$E$2:$E$300,MATCH($C52,Takeoff_In!$A$2:$A$300,0))))</f>
        <v/>
      </c>
      <c r="I52" s="45">
        <f>IF($C52="",0,IF(AND(ISNUMBER($F52),$F52&gt;0),G52/$F52,NA()))</f>
        <v/>
      </c>
      <c r="J52" s="45">
        <f>IF($C52="",0,IF(AND(ISNUMBER($F52),$F52&gt;0),H52/$F52,NA()))</f>
        <v/>
      </c>
      <c r="K52" s="46">
        <f>IF($C52="",0,INDEX(Crews!$H$2:$H$20,MATCH($E52,Crews!$A$2:$A$20,0)))</f>
        <v/>
      </c>
      <c r="L52" s="46">
        <f>IF($C52="",0,I52*K52)</f>
        <v/>
      </c>
      <c r="M52" s="46">
        <f>IF($C52="",0,J52*K52)</f>
        <v/>
      </c>
      <c r="N52" s="46">
        <f>IF($C52="",0,IF(G52=0,0,L52/G52))</f>
        <v/>
      </c>
      <c r="O52" s="48" t="n"/>
    </row>
    <row r="53" ht="15" customHeight="1" s="26">
      <c r="A53" s="37" t="n"/>
      <c r="B53" s="48" t="n"/>
      <c r="C53" s="48" t="n"/>
      <c r="D53" s="37">
        <f>IF($C53="","",INDEX(Takeoff_In!$C$2:$C$300,MATCH($C53,Takeoff_In!$A$2:$A$300,0)))</f>
        <v/>
      </c>
      <c r="E53" s="41" t="n"/>
      <c r="F53" s="49" t="n"/>
      <c r="G53" s="44">
        <f>IF($C53="","",IF(INDEX(Takeoff_In!$D$2:$D$300,MATCH($C53,Takeoff_In!$A$2:$A$300,0))="",NA(),INDEX(Takeoff_In!$D$2:$D$300,MATCH($C53,Takeoff_In!$A$2:$A$300,0))))</f>
        <v/>
      </c>
      <c r="H53" s="44">
        <f>IF($C53="","",IF(INDEX(Takeoff_In!$E$2:$E$300,MATCH($C53,Takeoff_In!$A$2:$A$300,0))="",NA(),INDEX(Takeoff_In!$E$2:$E$300,MATCH($C53,Takeoff_In!$A$2:$A$300,0))))</f>
        <v/>
      </c>
      <c r="I53" s="45">
        <f>IF($C53="",0,IF(AND(ISNUMBER($F53),$F53&gt;0),G53/$F53,NA()))</f>
        <v/>
      </c>
      <c r="J53" s="45">
        <f>IF($C53="",0,IF(AND(ISNUMBER($F53),$F53&gt;0),H53/$F53,NA()))</f>
        <v/>
      </c>
      <c r="K53" s="46">
        <f>IF($C53="",0,INDEX(Crews!$H$2:$H$20,MATCH($E53,Crews!$A$2:$A$20,0)))</f>
        <v/>
      </c>
      <c r="L53" s="46">
        <f>IF($C53="",0,I53*K53)</f>
        <v/>
      </c>
      <c r="M53" s="46">
        <f>IF($C53="",0,J53*K53)</f>
        <v/>
      </c>
      <c r="N53" s="46">
        <f>IF($C53="",0,IF(G53=0,0,L53/G53))</f>
        <v/>
      </c>
      <c r="O53" s="48" t="n"/>
    </row>
    <row r="54" ht="15" customHeight="1" s="26">
      <c r="A54" s="37" t="n"/>
      <c r="B54" s="48" t="n"/>
      <c r="C54" s="48" t="n"/>
      <c r="D54" s="37">
        <f>IF($C54="","",INDEX(Takeoff_In!$C$2:$C$300,MATCH($C54,Takeoff_In!$A$2:$A$300,0)))</f>
        <v/>
      </c>
      <c r="E54" s="41" t="n"/>
      <c r="F54" s="49" t="n"/>
      <c r="G54" s="44">
        <f>IF($C54="","",IF(INDEX(Takeoff_In!$D$2:$D$300,MATCH($C54,Takeoff_In!$A$2:$A$300,0))="",NA(),INDEX(Takeoff_In!$D$2:$D$300,MATCH($C54,Takeoff_In!$A$2:$A$300,0))))</f>
        <v/>
      </c>
      <c r="H54" s="44">
        <f>IF($C54="","",IF(INDEX(Takeoff_In!$E$2:$E$300,MATCH($C54,Takeoff_In!$A$2:$A$300,0))="",NA(),INDEX(Takeoff_In!$E$2:$E$300,MATCH($C54,Takeoff_In!$A$2:$A$300,0))))</f>
        <v/>
      </c>
      <c r="I54" s="45">
        <f>IF($C54="",0,IF(AND(ISNUMBER($F54),$F54&gt;0),G54/$F54,NA()))</f>
        <v/>
      </c>
      <c r="J54" s="45">
        <f>IF($C54="",0,IF(AND(ISNUMBER($F54),$F54&gt;0),H54/$F54,NA()))</f>
        <v/>
      </c>
      <c r="K54" s="46">
        <f>IF($C54="",0,INDEX(Crews!$H$2:$H$20,MATCH($E54,Crews!$A$2:$A$20,0)))</f>
        <v/>
      </c>
      <c r="L54" s="46">
        <f>IF($C54="",0,I54*K54)</f>
        <v/>
      </c>
      <c r="M54" s="46">
        <f>IF($C54="",0,J54*K54)</f>
        <v/>
      </c>
      <c r="N54" s="46">
        <f>IF($C54="",0,IF(G54=0,0,L54/G54))</f>
        <v/>
      </c>
      <c r="O54" s="48" t="n"/>
    </row>
    <row r="55" ht="15" customHeight="1" s="26">
      <c r="A55" s="37" t="n"/>
      <c r="B55" s="48" t="n"/>
      <c r="C55" s="48" t="n"/>
      <c r="D55" s="37">
        <f>IF($C55="","",INDEX(Takeoff_In!$C$2:$C$300,MATCH($C55,Takeoff_In!$A$2:$A$300,0)))</f>
        <v/>
      </c>
      <c r="E55" s="41" t="n"/>
      <c r="F55" s="49" t="n"/>
      <c r="G55" s="44">
        <f>IF($C55="","",IF(INDEX(Takeoff_In!$D$2:$D$300,MATCH($C55,Takeoff_In!$A$2:$A$300,0))="",NA(),INDEX(Takeoff_In!$D$2:$D$300,MATCH($C55,Takeoff_In!$A$2:$A$300,0))))</f>
        <v/>
      </c>
      <c r="H55" s="44">
        <f>IF($C55="","",IF(INDEX(Takeoff_In!$E$2:$E$300,MATCH($C55,Takeoff_In!$A$2:$A$300,0))="",NA(),INDEX(Takeoff_In!$E$2:$E$300,MATCH($C55,Takeoff_In!$A$2:$A$300,0))))</f>
        <v/>
      </c>
      <c r="I55" s="45">
        <f>IF($C55="",0,IF(AND(ISNUMBER($F55),$F55&gt;0),G55/$F55,NA()))</f>
        <v/>
      </c>
      <c r="J55" s="45">
        <f>IF($C55="",0,IF(AND(ISNUMBER($F55),$F55&gt;0),H55/$F55,NA()))</f>
        <v/>
      </c>
      <c r="K55" s="46">
        <f>IF($C55="",0,INDEX(Crews!$H$2:$H$20,MATCH($E55,Crews!$A$2:$A$20,0)))</f>
        <v/>
      </c>
      <c r="L55" s="46">
        <f>IF($C55="",0,I55*K55)</f>
        <v/>
      </c>
      <c r="M55" s="46">
        <f>IF($C55="",0,J55*K55)</f>
        <v/>
      </c>
      <c r="N55" s="46">
        <f>IF($C55="",0,IF(G55=0,0,L55/G55))</f>
        <v/>
      </c>
      <c r="O55" s="48" t="n"/>
    </row>
    <row r="56" ht="15" customHeight="1" s="26">
      <c r="A56" s="37" t="n"/>
      <c r="B56" s="48" t="n"/>
      <c r="C56" s="48" t="n"/>
      <c r="D56" s="37">
        <f>IF($C56="","",INDEX(Takeoff_In!$C$2:$C$300,MATCH($C56,Takeoff_In!$A$2:$A$300,0)))</f>
        <v/>
      </c>
      <c r="E56" s="41" t="n"/>
      <c r="F56" s="49" t="n"/>
      <c r="G56" s="44">
        <f>IF($C56="","",IF(INDEX(Takeoff_In!$D$2:$D$300,MATCH($C56,Takeoff_In!$A$2:$A$300,0))="",NA(),INDEX(Takeoff_In!$D$2:$D$300,MATCH($C56,Takeoff_In!$A$2:$A$300,0))))</f>
        <v/>
      </c>
      <c r="H56" s="44">
        <f>IF($C56="","",IF(INDEX(Takeoff_In!$E$2:$E$300,MATCH($C56,Takeoff_In!$A$2:$A$300,0))="",NA(),INDEX(Takeoff_In!$E$2:$E$300,MATCH($C56,Takeoff_In!$A$2:$A$300,0))))</f>
        <v/>
      </c>
      <c r="I56" s="45">
        <f>IF($C56="",0,IF(AND(ISNUMBER($F56),$F56&gt;0),G56/$F56,NA()))</f>
        <v/>
      </c>
      <c r="J56" s="45">
        <f>IF($C56="",0,IF(AND(ISNUMBER($F56),$F56&gt;0),H56/$F56,NA()))</f>
        <v/>
      </c>
      <c r="K56" s="46">
        <f>IF($C56="",0,INDEX(Crews!$H$2:$H$20,MATCH($E56,Crews!$A$2:$A$20,0)))</f>
        <v/>
      </c>
      <c r="L56" s="46">
        <f>IF($C56="",0,I56*K56)</f>
        <v/>
      </c>
      <c r="M56" s="46">
        <f>IF($C56="",0,J56*K56)</f>
        <v/>
      </c>
      <c r="N56" s="46">
        <f>IF($C56="",0,IF(G56=0,0,L56/G56))</f>
        <v/>
      </c>
      <c r="O56" s="48" t="n"/>
    </row>
    <row r="57" ht="15" customHeight="1" s="26">
      <c r="A57" s="37" t="n"/>
      <c r="B57" s="48" t="n"/>
      <c r="C57" s="48" t="n"/>
      <c r="D57" s="37">
        <f>IF($C57="","",INDEX(Takeoff_In!$C$2:$C$300,MATCH($C57,Takeoff_In!$A$2:$A$300,0)))</f>
        <v/>
      </c>
      <c r="E57" s="41" t="n"/>
      <c r="F57" s="49" t="n"/>
      <c r="G57" s="44">
        <f>IF($C57="","",IF(INDEX(Takeoff_In!$D$2:$D$300,MATCH($C57,Takeoff_In!$A$2:$A$300,0))="",NA(),INDEX(Takeoff_In!$D$2:$D$300,MATCH($C57,Takeoff_In!$A$2:$A$300,0))))</f>
        <v/>
      </c>
      <c r="H57" s="44">
        <f>IF($C57="","",IF(INDEX(Takeoff_In!$E$2:$E$300,MATCH($C57,Takeoff_In!$A$2:$A$300,0))="",NA(),INDEX(Takeoff_In!$E$2:$E$300,MATCH($C57,Takeoff_In!$A$2:$A$300,0))))</f>
        <v/>
      </c>
      <c r="I57" s="45">
        <f>IF($C57="",0,IF(AND(ISNUMBER($F57),$F57&gt;0),G57/$F57,NA()))</f>
        <v/>
      </c>
      <c r="J57" s="45">
        <f>IF($C57="",0,IF(AND(ISNUMBER($F57),$F57&gt;0),H57/$F57,NA()))</f>
        <v/>
      </c>
      <c r="K57" s="46">
        <f>IF($C57="",0,INDEX(Crews!$H$2:$H$20,MATCH($E57,Crews!$A$2:$A$20,0)))</f>
        <v/>
      </c>
      <c r="L57" s="46">
        <f>IF($C57="",0,I57*K57)</f>
        <v/>
      </c>
      <c r="M57" s="46">
        <f>IF($C57="",0,J57*K57)</f>
        <v/>
      </c>
      <c r="N57" s="46">
        <f>IF($C57="",0,IF(G57=0,0,L57/G57))</f>
        <v/>
      </c>
      <c r="O57" s="48" t="n"/>
    </row>
    <row r="58" ht="15" customHeight="1" s="26">
      <c r="A58" s="37" t="n"/>
      <c r="B58" s="48" t="n"/>
      <c r="C58" s="48" t="n"/>
      <c r="D58" s="37">
        <f>IF($C58="","",INDEX(Takeoff_In!$C$2:$C$300,MATCH($C58,Takeoff_In!$A$2:$A$300,0)))</f>
        <v/>
      </c>
      <c r="E58" s="41" t="n"/>
      <c r="F58" s="49" t="n"/>
      <c r="G58" s="44">
        <f>IF($C58="","",IF(INDEX(Takeoff_In!$D$2:$D$300,MATCH($C58,Takeoff_In!$A$2:$A$300,0))="",NA(),INDEX(Takeoff_In!$D$2:$D$300,MATCH($C58,Takeoff_In!$A$2:$A$300,0))))</f>
        <v/>
      </c>
      <c r="H58" s="44">
        <f>IF($C58="","",IF(INDEX(Takeoff_In!$E$2:$E$300,MATCH($C58,Takeoff_In!$A$2:$A$300,0))="",NA(),INDEX(Takeoff_In!$E$2:$E$300,MATCH($C58,Takeoff_In!$A$2:$A$300,0))))</f>
        <v/>
      </c>
      <c r="I58" s="45">
        <f>IF($C58="",0,IF(AND(ISNUMBER($F58),$F58&gt;0),G58/$F58,NA()))</f>
        <v/>
      </c>
      <c r="J58" s="45">
        <f>IF($C58="",0,IF(AND(ISNUMBER($F58),$F58&gt;0),H58/$F58,NA()))</f>
        <v/>
      </c>
      <c r="K58" s="46">
        <f>IF($C58="",0,INDEX(Crews!$H$2:$H$20,MATCH($E58,Crews!$A$2:$A$20,0)))</f>
        <v/>
      </c>
      <c r="L58" s="46">
        <f>IF($C58="",0,I58*K58)</f>
        <v/>
      </c>
      <c r="M58" s="46">
        <f>IF($C58="",0,J58*K58)</f>
        <v/>
      </c>
      <c r="N58" s="46">
        <f>IF($C58="",0,IF(G58=0,0,L58/G58))</f>
        <v/>
      </c>
      <c r="O58" s="48" t="n"/>
    </row>
    <row r="59" ht="15" customHeight="1" s="26">
      <c r="A59" s="37" t="n"/>
      <c r="B59" s="48" t="n"/>
      <c r="C59" s="48" t="n"/>
      <c r="D59" s="37">
        <f>IF($C59="","",INDEX(Takeoff_In!$C$2:$C$300,MATCH($C59,Takeoff_In!$A$2:$A$300,0)))</f>
        <v/>
      </c>
      <c r="E59" s="41" t="n"/>
      <c r="F59" s="49" t="n"/>
      <c r="G59" s="44">
        <f>IF($C59="","",IF(INDEX(Takeoff_In!$D$2:$D$300,MATCH($C59,Takeoff_In!$A$2:$A$300,0))="",NA(),INDEX(Takeoff_In!$D$2:$D$300,MATCH($C59,Takeoff_In!$A$2:$A$300,0))))</f>
        <v/>
      </c>
      <c r="H59" s="44">
        <f>IF($C59="","",IF(INDEX(Takeoff_In!$E$2:$E$300,MATCH($C59,Takeoff_In!$A$2:$A$300,0))="",NA(),INDEX(Takeoff_In!$E$2:$E$300,MATCH($C59,Takeoff_In!$A$2:$A$300,0))))</f>
        <v/>
      </c>
      <c r="I59" s="45">
        <f>IF($C59="",0,IF(AND(ISNUMBER($F59),$F59&gt;0),G59/$F59,NA()))</f>
        <v/>
      </c>
      <c r="J59" s="45">
        <f>IF($C59="",0,IF(AND(ISNUMBER($F59),$F59&gt;0),H59/$F59,NA()))</f>
        <v/>
      </c>
      <c r="K59" s="46">
        <f>IF($C59="",0,INDEX(Crews!$H$2:$H$20,MATCH($E59,Crews!$A$2:$A$20,0)))</f>
        <v/>
      </c>
      <c r="L59" s="46">
        <f>IF($C59="",0,I59*K59)</f>
        <v/>
      </c>
      <c r="M59" s="46">
        <f>IF($C59="",0,J59*K59)</f>
        <v/>
      </c>
      <c r="N59" s="46">
        <f>IF($C59="",0,IF(G59=0,0,L59/G59))</f>
        <v/>
      </c>
      <c r="O59" s="48" t="n"/>
    </row>
    <row r="60" ht="15" customHeight="1" s="26">
      <c r="A60" s="37" t="n"/>
      <c r="B60" s="48" t="n"/>
      <c r="C60" s="48" t="n"/>
      <c r="D60" s="37">
        <f>IF($C60="","",INDEX(Takeoff_In!$C$2:$C$300,MATCH($C60,Takeoff_In!$A$2:$A$300,0)))</f>
        <v/>
      </c>
      <c r="E60" s="41" t="n"/>
      <c r="F60" s="49" t="n"/>
      <c r="G60" s="44">
        <f>IF($C60="","",IF(INDEX(Takeoff_In!$D$2:$D$300,MATCH($C60,Takeoff_In!$A$2:$A$300,0))="",NA(),INDEX(Takeoff_In!$D$2:$D$300,MATCH($C60,Takeoff_In!$A$2:$A$300,0))))</f>
        <v/>
      </c>
      <c r="H60" s="44">
        <f>IF($C60="","",IF(INDEX(Takeoff_In!$E$2:$E$300,MATCH($C60,Takeoff_In!$A$2:$A$300,0))="",NA(),INDEX(Takeoff_In!$E$2:$E$300,MATCH($C60,Takeoff_In!$A$2:$A$300,0))))</f>
        <v/>
      </c>
      <c r="I60" s="45">
        <f>IF($C60="",0,IF(AND(ISNUMBER($F60),$F60&gt;0),G60/$F60,NA()))</f>
        <v/>
      </c>
      <c r="J60" s="45">
        <f>IF($C60="",0,IF(AND(ISNUMBER($F60),$F60&gt;0),H60/$F60,NA()))</f>
        <v/>
      </c>
      <c r="K60" s="46">
        <f>IF($C60="",0,INDEX(Crews!$H$2:$H$20,MATCH($E60,Crews!$A$2:$A$20,0)))</f>
        <v/>
      </c>
      <c r="L60" s="46">
        <f>IF($C60="",0,I60*K60)</f>
        <v/>
      </c>
      <c r="M60" s="46">
        <f>IF($C60="",0,J60*K60)</f>
        <v/>
      </c>
      <c r="N60" s="46">
        <f>IF($C60="",0,IF(G60=0,0,L60/G60))</f>
        <v/>
      </c>
      <c r="O60" s="48" t="n"/>
    </row>
  </sheetData>
  <dataValidations count="2">
    <dataValidation sqref="E2:E60" showDropDown="0" showInputMessage="0" showErrorMessage="0" allowBlank="1" type="list" errorStyle="stop" operator="between">
      <formula1>Crews!$A$2:$A$20</formula1>
      <formula2>0</formula2>
    </dataValidation>
    <dataValidation sqref="C2:C60" showDropDown="0" showInputMessage="0" showErrorMessage="0" allowBlank="1" type="list" errorStyle="stop" operator="between">
      <formula1>Takeoff_In!$A$2:$A$300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70" customWidth="1" style="26" min="5" max="5"/>
  </cols>
  <sheetData>
    <row r="1">
      <c r="A1" s="36" t="inlineStr">
        <is>
          <t>task_id</t>
        </is>
      </c>
      <c r="B1" s="36" t="inlineStr">
        <is>
          <t>crew_id</t>
        </is>
      </c>
      <c r="C1" s="36" t="inlineStr">
        <is>
          <t>production_rate</t>
        </is>
      </c>
      <c r="D1" s="36" t="inlineStr">
        <is>
          <t>rate_basis</t>
        </is>
      </c>
      <c r="E1" s="36" t="inlineStr">
        <is>
          <t>notes</t>
        </is>
      </c>
    </row>
    <row r="2">
      <c r="A2" s="25" t="inlineStr">
        <is>
          <t>L01</t>
        </is>
      </c>
      <c r="B2" s="25" t="inlineStr">
        <is>
          <t>CR11</t>
        </is>
      </c>
      <c r="C2" s="25" t="n">
        <v>150</v>
      </c>
      <c r="D2" s="25" t="inlineStr">
        <is>
          <t>standard</t>
        </is>
      </c>
      <c r="E2" s="25" t="inlineStr">
        <is>
          <t>Fictional baseline production for this crew; efficiency is applied separately.</t>
        </is>
      </c>
    </row>
    <row r="3">
      <c r="A3" s="25" t="inlineStr">
        <is>
          <t>L02</t>
        </is>
      </c>
      <c r="B3" s="25" t="inlineStr">
        <is>
          <t>CR11</t>
        </is>
      </c>
      <c r="C3" s="25" t="n">
        <v>7.2</v>
      </c>
      <c r="D3" s="25" t="inlineStr">
        <is>
          <t>standard</t>
        </is>
      </c>
      <c r="E3" s="25" t="inlineStr">
        <is>
          <t>Fictional baseline production for this crew; efficiency is applied separately.</t>
        </is>
      </c>
    </row>
    <row r="4">
      <c r="A4" s="25" t="inlineStr">
        <is>
          <t>L03</t>
        </is>
      </c>
      <c r="B4" s="25" t="inlineStr">
        <is>
          <t>CR11</t>
        </is>
      </c>
      <c r="C4" s="25" t="n">
        <v>5.1</v>
      </c>
      <c r="D4" s="25" t="inlineStr">
        <is>
          <t>standard</t>
        </is>
      </c>
      <c r="E4" s="25" t="inlineStr">
        <is>
          <t>Fictional baseline production for this crew; efficiency is applied separately.</t>
        </is>
      </c>
    </row>
    <row r="5">
      <c r="A5" s="25" t="inlineStr">
        <is>
          <t>L04</t>
        </is>
      </c>
      <c r="B5" s="25" t="inlineStr">
        <is>
          <t>CR11</t>
        </is>
      </c>
      <c r="C5" s="25" t="n">
        <v>81</v>
      </c>
      <c r="D5" s="25" t="inlineStr">
        <is>
          <t>standard</t>
        </is>
      </c>
      <c r="E5" s="25" t="inlineStr">
        <is>
          <t>Fictional baseline production for this crew; efficiency is applied separately.</t>
        </is>
      </c>
    </row>
    <row r="6">
      <c r="A6" s="25" t="inlineStr">
        <is>
          <t>L05</t>
        </is>
      </c>
      <c r="B6" s="25" t="inlineStr">
        <is>
          <t>CR11</t>
        </is>
      </c>
      <c r="C6" s="25" t="n">
        <v>2.4</v>
      </c>
      <c r="D6" s="25" t="inlineStr">
        <is>
          <t>standard</t>
        </is>
      </c>
      <c r="E6" s="25" t="inlineStr">
        <is>
          <t>Fictional baseline production for this crew; efficiency is applied separately.</t>
        </is>
      </c>
    </row>
    <row r="7">
      <c r="A7" s="25" t="inlineStr">
        <is>
          <t>L06</t>
        </is>
      </c>
      <c r="B7" s="25" t="inlineStr">
        <is>
          <t>CR11</t>
        </is>
      </c>
      <c r="C7" s="25" t="n">
        <v>36.75</v>
      </c>
      <c r="D7" s="25" t="inlineStr">
        <is>
          <t>standard</t>
        </is>
      </c>
      <c r="E7" s="25" t="inlineStr">
        <is>
          <t>Fictional baseline production for this crew; efficiency is applied separately.</t>
        </is>
      </c>
    </row>
    <row r="8">
      <c r="A8" s="25" t="inlineStr">
        <is>
          <t>L07</t>
        </is>
      </c>
      <c r="B8" s="25" t="inlineStr">
        <is>
          <t>CR11</t>
        </is>
      </c>
      <c r="C8" s="25" t="n">
        <v>88</v>
      </c>
      <c r="D8" s="25" t="inlineStr">
        <is>
          <t>standard</t>
        </is>
      </c>
      <c r="E8" s="25" t="inlineStr">
        <is>
          <t>Fictional baseline production for this crew; efficiency is applied separately.</t>
        </is>
      </c>
    </row>
    <row r="9">
      <c r="A9" s="25" t="inlineStr">
        <is>
          <t>L08</t>
        </is>
      </c>
      <c r="B9" s="25" t="inlineStr">
        <is>
          <t>CR11</t>
        </is>
      </c>
      <c r="C9" s="25" t="n">
        <v>0.35</v>
      </c>
      <c r="D9" s="25" t="inlineStr">
        <is>
          <t>standard</t>
        </is>
      </c>
      <c r="E9" s="25" t="inlineStr">
        <is>
          <t>Fictional baseline production for this crew; efficiency is applied separately.</t>
        </is>
      </c>
    </row>
    <row r="10">
      <c r="A10" s="25" t="inlineStr">
        <is>
          <t>L09</t>
        </is>
      </c>
      <c r="B10" s="25" t="inlineStr">
        <is>
          <t>CR11</t>
        </is>
      </c>
      <c r="C10" s="25" t="n">
        <v>44</v>
      </c>
      <c r="D10" s="25" t="inlineStr">
        <is>
          <t>standard</t>
        </is>
      </c>
      <c r="E10" s="25" t="inlineStr">
        <is>
          <t>Fictional baseline production for this crew; efficiency is applied separately.</t>
        </is>
      </c>
    </row>
    <row r="11">
      <c r="A11" s="25" t="inlineStr">
        <is>
          <t>L10</t>
        </is>
      </c>
      <c r="B11" s="25" t="inlineStr">
        <is>
          <t>CR11</t>
        </is>
      </c>
      <c r="C11" s="25" t="n">
        <v>230</v>
      </c>
      <c r="D11" s="25" t="inlineStr">
        <is>
          <t>standard</t>
        </is>
      </c>
      <c r="E11" s="25" t="inlineStr">
        <is>
          <t>Fictional baseline production for this crew; efficiency is applied separately.</t>
        </is>
      </c>
    </row>
    <row r="12">
      <c r="A12" s="25" t="inlineStr">
        <is>
          <t>L01</t>
        </is>
      </c>
      <c r="B12" s="25" t="inlineStr">
        <is>
          <t>CR12</t>
        </is>
      </c>
      <c r="C12" s="25" t="n">
        <v>150</v>
      </c>
      <c r="D12" s="25" t="inlineStr">
        <is>
          <t>standard</t>
        </is>
      </c>
      <c r="E12" s="25" t="inlineStr">
        <is>
          <t>Fictional baseline production for this crew; efficiency is applied separately.</t>
        </is>
      </c>
    </row>
    <row r="13">
      <c r="A13" s="25" t="inlineStr">
        <is>
          <t>L02</t>
        </is>
      </c>
      <c r="B13" s="25" t="inlineStr">
        <is>
          <t>CR12</t>
        </is>
      </c>
      <c r="C13" s="25" t="n">
        <v>7.6</v>
      </c>
      <c r="D13" s="25" t="inlineStr">
        <is>
          <t>standard</t>
        </is>
      </c>
      <c r="E13" s="25" t="inlineStr">
        <is>
          <t>Fictional baseline production for this crew; efficiency is applied separately.</t>
        </is>
      </c>
    </row>
    <row r="14">
      <c r="A14" s="25" t="inlineStr">
        <is>
          <t>L03</t>
        </is>
      </c>
      <c r="B14" s="25" t="inlineStr">
        <is>
          <t>CR12</t>
        </is>
      </c>
      <c r="C14" s="25" t="n">
        <v>6.3</v>
      </c>
      <c r="D14" s="25" t="inlineStr">
        <is>
          <t>standard</t>
        </is>
      </c>
      <c r="E14" s="25" t="inlineStr">
        <is>
          <t>Fictional baseline production for this crew; efficiency is applied separately.</t>
        </is>
      </c>
    </row>
    <row r="15">
      <c r="A15" s="25" t="inlineStr">
        <is>
          <t>L04</t>
        </is>
      </c>
      <c r="B15" s="25" t="inlineStr">
        <is>
          <t>CR12</t>
        </is>
      </c>
      <c r="C15" s="25" t="n">
        <v>99</v>
      </c>
      <c r="D15" s="25" t="inlineStr">
        <is>
          <t>standard</t>
        </is>
      </c>
      <c r="E15" s="25" t="inlineStr">
        <is>
          <t>Fictional baseline production for this crew; efficiency is applied separately.</t>
        </is>
      </c>
    </row>
    <row r="16">
      <c r="A16" s="25" t="inlineStr">
        <is>
          <t>L05</t>
        </is>
      </c>
      <c r="B16" s="25" t="inlineStr">
        <is>
          <t>CR12</t>
        </is>
      </c>
      <c r="C16" s="25" t="n">
        <v>3.15</v>
      </c>
      <c r="D16" s="25" t="inlineStr">
        <is>
          <t>standard</t>
        </is>
      </c>
      <c r="E16" s="25" t="inlineStr">
        <is>
          <t>Fictional baseline production for this crew; efficiency is applied separately.</t>
        </is>
      </c>
    </row>
    <row r="17">
      <c r="A17" s="25" t="inlineStr">
        <is>
          <t>L06</t>
        </is>
      </c>
      <c r="B17" s="25" t="inlineStr">
        <is>
          <t>CR12</t>
        </is>
      </c>
      <c r="C17" s="25" t="n">
        <v>35</v>
      </c>
      <c r="D17" s="25" t="inlineStr">
        <is>
          <t>standard</t>
        </is>
      </c>
      <c r="E17" s="25" t="inlineStr">
        <is>
          <t>Fictional baseline production for this crew; efficiency is applied separately.</t>
        </is>
      </c>
    </row>
    <row r="18">
      <c r="A18" s="25" t="inlineStr">
        <is>
          <t>L07</t>
        </is>
      </c>
      <c r="B18" s="25" t="inlineStr">
        <is>
          <t>CR12</t>
        </is>
      </c>
      <c r="C18" s="25" t="n">
        <v>80</v>
      </c>
      <c r="D18" s="25" t="inlineStr">
        <is>
          <t>standard</t>
        </is>
      </c>
      <c r="E18" s="25" t="inlineStr">
        <is>
          <t>Fictional baseline production for this crew; efficiency is applied separately.</t>
        </is>
      </c>
    </row>
    <row r="19">
      <c r="A19" s="25" t="inlineStr">
        <is>
          <t>L08</t>
        </is>
      </c>
      <c r="B19" s="25" t="inlineStr">
        <is>
          <t>CR12</t>
        </is>
      </c>
      <c r="C19" s="25" t="n">
        <v>0.5</v>
      </c>
      <c r="D19" s="25" t="inlineStr">
        <is>
          <t>standard</t>
        </is>
      </c>
      <c r="E19" s="25" t="inlineStr">
        <is>
          <t>Fictional baseline production for this crew; efficiency is applied separately.</t>
        </is>
      </c>
    </row>
    <row r="20">
      <c r="A20" s="25" t="inlineStr">
        <is>
          <t>L09</t>
        </is>
      </c>
      <c r="B20" s="25" t="inlineStr">
        <is>
          <t>CR12</t>
        </is>
      </c>
      <c r="C20" s="25" t="n">
        <v>38</v>
      </c>
      <c r="D20" s="25" t="inlineStr">
        <is>
          <t>standard</t>
        </is>
      </c>
      <c r="E20" s="25" t="inlineStr">
        <is>
          <t>Fictional baseline production for this crew; efficiency is applied separately.</t>
        </is>
      </c>
    </row>
    <row r="21">
      <c r="A21" s="25" t="inlineStr">
        <is>
          <t>L10</t>
        </is>
      </c>
      <c r="B21" s="25" t="inlineStr">
        <is>
          <t>CR12</t>
        </is>
      </c>
      <c r="C21" s="25" t="n">
        <v>200</v>
      </c>
      <c r="D21" s="25" t="inlineStr">
        <is>
          <t>standard</t>
        </is>
      </c>
      <c r="E21" s="25" t="inlineStr">
        <is>
          <t>Fictional baseline production for this crew; efficiency is applied separately.</t>
        </is>
      </c>
    </row>
    <row r="22">
      <c r="A22" s="25" t="inlineStr">
        <is>
          <t>L01</t>
        </is>
      </c>
      <c r="B22" s="25" t="inlineStr">
        <is>
          <t>CR13</t>
        </is>
      </c>
      <c r="C22" s="25" t="n">
        <v>142.5</v>
      </c>
      <c r="D22" s="25" t="inlineStr">
        <is>
          <t>standard</t>
        </is>
      </c>
      <c r="E22" s="25" t="inlineStr">
        <is>
          <t>Fictional baseline production for this crew; efficiency is applied separately.</t>
        </is>
      </c>
    </row>
    <row r="23">
      <c r="A23" s="25" t="inlineStr">
        <is>
          <t>L02</t>
        </is>
      </c>
      <c r="B23" s="25" t="inlineStr">
        <is>
          <t>CR13</t>
        </is>
      </c>
      <c r="C23" s="25" t="n">
        <v>8</v>
      </c>
      <c r="D23" s="25" t="inlineStr">
        <is>
          <t>standard</t>
        </is>
      </c>
      <c r="E23" s="25" t="inlineStr">
        <is>
          <t>Fictional baseline production for this crew; efficiency is applied separately.</t>
        </is>
      </c>
    </row>
    <row r="24">
      <c r="A24" s="25" t="inlineStr">
        <is>
          <t>L03</t>
        </is>
      </c>
      <c r="B24" s="25" t="inlineStr">
        <is>
          <t>CR13</t>
        </is>
      </c>
      <c r="C24" s="25" t="n">
        <v>6</v>
      </c>
      <c r="D24" s="25" t="inlineStr">
        <is>
          <t>standard</t>
        </is>
      </c>
      <c r="E24" s="25" t="inlineStr">
        <is>
          <t>Fictional baseline production for this crew; efficiency is applied separately.</t>
        </is>
      </c>
    </row>
    <row r="25">
      <c r="A25" s="25" t="inlineStr">
        <is>
          <t>L04</t>
        </is>
      </c>
      <c r="B25" s="25" t="inlineStr">
        <is>
          <t>CR13</t>
        </is>
      </c>
      <c r="C25" s="25" t="n">
        <v>85.5</v>
      </c>
      <c r="D25" s="25" t="inlineStr">
        <is>
          <t>standard</t>
        </is>
      </c>
      <c r="E25" s="25" t="inlineStr">
        <is>
          <t>Fictional baseline production for this crew; efficiency is applied separately.</t>
        </is>
      </c>
    </row>
    <row r="26">
      <c r="A26" s="25" t="inlineStr">
        <is>
          <t>L05</t>
        </is>
      </c>
      <c r="B26" s="25" t="inlineStr">
        <is>
          <t>CR13</t>
        </is>
      </c>
      <c r="C26" s="25" t="n">
        <v>3</v>
      </c>
      <c r="D26" s="25" t="inlineStr">
        <is>
          <t>standard</t>
        </is>
      </c>
      <c r="E26" s="25" t="inlineStr">
        <is>
          <t>Fictional baseline production for this crew; efficiency is applied separately.</t>
        </is>
      </c>
    </row>
    <row r="27">
      <c r="A27" s="25" t="inlineStr">
        <is>
          <t>L06</t>
        </is>
      </c>
      <c r="B27" s="25" t="inlineStr">
        <is>
          <t>CR13</t>
        </is>
      </c>
      <c r="C27" s="25" t="n">
        <v>33.25</v>
      </c>
      <c r="D27" s="25" t="inlineStr">
        <is>
          <t>standard</t>
        </is>
      </c>
      <c r="E27" s="25" t="inlineStr">
        <is>
          <t>Fictional baseline production for this crew; efficiency is applied separately.</t>
        </is>
      </c>
    </row>
    <row r="28">
      <c r="A28" s="25" t="inlineStr">
        <is>
          <t>L07</t>
        </is>
      </c>
      <c r="B28" s="25" t="inlineStr">
        <is>
          <t>CR13</t>
        </is>
      </c>
      <c r="C28" s="25" t="n">
        <v>76</v>
      </c>
      <c r="D28" s="25" t="inlineStr">
        <is>
          <t>standard</t>
        </is>
      </c>
      <c r="E28" s="25" t="inlineStr">
        <is>
          <t>Fictional baseline production for this crew; efficiency is applied separately.</t>
        </is>
      </c>
    </row>
    <row r="29">
      <c r="A29" s="25" t="inlineStr">
        <is>
          <t>L08</t>
        </is>
      </c>
      <c r="B29" s="25" t="inlineStr">
        <is>
          <t>CR13</t>
        </is>
      </c>
      <c r="C29" s="25" t="n">
        <v>0.45</v>
      </c>
      <c r="D29" s="25" t="inlineStr">
        <is>
          <t>standard</t>
        </is>
      </c>
      <c r="E29" s="25" t="inlineStr">
        <is>
          <t>Fictional baseline production for this crew; efficiency is applied separately.</t>
        </is>
      </c>
    </row>
    <row r="30">
      <c r="A30" s="25" t="inlineStr">
        <is>
          <t>L09</t>
        </is>
      </c>
      <c r="B30" s="25" t="inlineStr">
        <is>
          <t>CR13</t>
        </is>
      </c>
      <c r="C30" s="25" t="n">
        <v>36</v>
      </c>
      <c r="D30" s="25" t="inlineStr">
        <is>
          <t>standard</t>
        </is>
      </c>
      <c r="E30" s="25" t="inlineStr">
        <is>
          <t>Fictional baseline production for this crew; efficiency is applied separately.</t>
        </is>
      </c>
    </row>
    <row r="31">
      <c r="A31" s="25" t="inlineStr">
        <is>
          <t>L10</t>
        </is>
      </c>
      <c r="B31" s="25" t="inlineStr">
        <is>
          <t>CR13</t>
        </is>
      </c>
      <c r="C31" s="25" t="n">
        <v>190</v>
      </c>
      <c r="D31" s="25" t="inlineStr">
        <is>
          <t>standard</t>
        </is>
      </c>
      <c r="E31" s="25" t="inlineStr">
        <is>
          <t>Fictional baseline production for this crew; efficiency is applied separately.</t>
        </is>
      </c>
    </row>
    <row r="32">
      <c r="A32" t="inlineStr">
        <is>
          <t>L01</t>
        </is>
      </c>
      <c r="B32" t="inlineStr">
        <is>
          <t>CR14</t>
        </is>
      </c>
      <c r="C32" t="n">
        <v>150</v>
      </c>
      <c r="D32" t="inlineStr">
        <is>
          <t>standard</t>
        </is>
      </c>
      <c r="E32" t="inlineStr">
        <is>
          <t>Fictional baseline production for this crew; efficiency is applied separately.</t>
        </is>
      </c>
    </row>
    <row r="33">
      <c r="A33" t="inlineStr">
        <is>
          <t>L02</t>
        </is>
      </c>
      <c r="B33" t="inlineStr">
        <is>
          <t>CR14</t>
        </is>
      </c>
      <c r="C33" t="n">
        <v>8.4</v>
      </c>
      <c r="D33" t="inlineStr">
        <is>
          <t>standard</t>
        </is>
      </c>
      <c r="E33" t="inlineStr">
        <is>
          <t>Fictional baseline production for this crew; efficiency is applied separately.</t>
        </is>
      </c>
    </row>
    <row r="34">
      <c r="A34" t="inlineStr">
        <is>
          <t>L03</t>
        </is>
      </c>
      <c r="B34" t="inlineStr">
        <is>
          <t>CR14</t>
        </is>
      </c>
      <c r="C34" t="n">
        <v>6.12</v>
      </c>
      <c r="D34" t="inlineStr">
        <is>
          <t>standard</t>
        </is>
      </c>
      <c r="E34" t="inlineStr">
        <is>
          <t>Fictional baseline production for this crew; efficiency is applied separately.</t>
        </is>
      </c>
    </row>
    <row r="35">
      <c r="A35" t="inlineStr">
        <is>
          <t>L04</t>
        </is>
      </c>
      <c r="B35" t="inlineStr">
        <is>
          <t>CR14</t>
        </is>
      </c>
      <c r="C35" t="n">
        <v>90</v>
      </c>
      <c r="D35" t="inlineStr">
        <is>
          <t>standard</t>
        </is>
      </c>
      <c r="E35" t="inlineStr">
        <is>
          <t>Fictional baseline production for this crew; efficiency is applied separately.</t>
        </is>
      </c>
    </row>
    <row r="36">
      <c r="A36" t="inlineStr">
        <is>
          <t>L05</t>
        </is>
      </c>
      <c r="B36" t="inlineStr">
        <is>
          <t>CR14</t>
        </is>
      </c>
      <c r="C36" t="n">
        <v>3.09</v>
      </c>
      <c r="D36" t="inlineStr">
        <is>
          <t>standard</t>
        </is>
      </c>
      <c r="E36" t="inlineStr">
        <is>
          <t>Fictional baseline production for this crew; efficiency is applied separately.</t>
        </is>
      </c>
    </row>
    <row r="37">
      <c r="A37" t="inlineStr">
        <is>
          <t>L06</t>
        </is>
      </c>
      <c r="B37" t="inlineStr">
        <is>
          <t>CR14</t>
        </is>
      </c>
      <c r="C37" t="n">
        <v>34.3</v>
      </c>
      <c r="D37" t="inlineStr">
        <is>
          <t>standard</t>
        </is>
      </c>
      <c r="E37" t="inlineStr">
        <is>
          <t>Fictional baseline production for this crew; efficiency is applied separately.</t>
        </is>
      </c>
    </row>
    <row r="38">
      <c r="A38" t="inlineStr">
        <is>
          <t>L07</t>
        </is>
      </c>
      <c r="B38" t="inlineStr">
        <is>
          <t>CR14</t>
        </is>
      </c>
      <c r="C38" t="n">
        <v>77.59999999999999</v>
      </c>
      <c r="D38" t="inlineStr">
        <is>
          <t>standard</t>
        </is>
      </c>
      <c r="E38" t="inlineStr">
        <is>
          <t>Fictional baseline production for this crew; efficiency is applied separately.</t>
        </is>
      </c>
    </row>
    <row r="39">
      <c r="A39" t="inlineStr">
        <is>
          <t>L08</t>
        </is>
      </c>
      <c r="B39" t="inlineStr">
        <is>
          <t>CR14</t>
        </is>
      </c>
      <c r="C39" t="n">
        <v>0.47</v>
      </c>
      <c r="D39" t="inlineStr">
        <is>
          <t>standard</t>
        </is>
      </c>
      <c r="E39" t="inlineStr">
        <is>
          <t>Fictional baseline production for this crew; efficiency is applied separately.</t>
        </is>
      </c>
    </row>
    <row r="40">
      <c r="A40" t="inlineStr">
        <is>
          <t>L09</t>
        </is>
      </c>
      <c r="B40" t="inlineStr">
        <is>
          <t>CR14</t>
        </is>
      </c>
      <c r="C40" t="n">
        <v>38.4</v>
      </c>
      <c r="D40" t="inlineStr">
        <is>
          <t>standard</t>
        </is>
      </c>
      <c r="E40" t="inlineStr">
        <is>
          <t>Fictional baseline production for this crew; efficiency is applied separately.</t>
        </is>
      </c>
    </row>
    <row r="41">
      <c r="A41" t="inlineStr">
        <is>
          <t>L10</t>
        </is>
      </c>
      <c r="B41" t="inlineStr">
        <is>
          <t>CR14</t>
        </is>
      </c>
      <c r="C41" t="n">
        <v>196</v>
      </c>
      <c r="D41" t="inlineStr">
        <is>
          <t>standard</t>
        </is>
      </c>
      <c r="E41" t="inlineStr">
        <is>
          <t>Fictional baseline production for this crew; efficiency is applied separately.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5" min="1" max="1"/>
    <col width="34" customWidth="1" style="25" min="2" max="2"/>
    <col width="14" customWidth="1" style="25" min="3" max="3"/>
    <col width="16" customWidth="1" style="25" min="4" max="4"/>
    <col width="12" customWidth="1" style="25" min="5" max="5"/>
    <col width="16" customWidth="1" style="25" min="6" max="7"/>
    <col width="18" customWidth="1" style="25" min="8" max="9"/>
    <col width="16" customWidth="1" style="25" min="10" max="10"/>
    <col width="12" customWidth="1" style="25" min="11" max="11"/>
    <col width="14" customWidth="1" style="25" min="12" max="13"/>
    <col width="28" customWidth="1" style="25" min="14" max="14"/>
  </cols>
  <sheetData>
    <row r="1" ht="31.5" customHeight="1" s="26">
      <c r="A1" s="36" t="inlineStr">
        <is>
          <t>equip_id</t>
        </is>
      </c>
      <c r="B1" s="36" t="inlineStr">
        <is>
          <t>equipment</t>
        </is>
      </c>
      <c r="C1" s="36" t="inlineStr">
        <is>
          <t>owned_or_rented</t>
        </is>
      </c>
      <c r="D1" s="36" t="inlineStr">
        <is>
          <t>basis (day/hr/week/each)</t>
        </is>
      </c>
      <c r="E1" s="36" t="inlineStr">
        <is>
          <t>rate</t>
        </is>
      </c>
      <c r="F1" s="36" t="inlineStr">
        <is>
          <t>days_or_units_base</t>
        </is>
      </c>
      <c r="G1" s="36" t="inlineStr">
        <is>
          <t>days_or_units_alt</t>
        </is>
      </c>
      <c r="H1" s="36" t="inlineStr">
        <is>
          <t>fuel_and_consumables_base</t>
        </is>
      </c>
      <c r="I1" s="36" t="inlineStr">
        <is>
          <t>fuel_and_consumables_alt</t>
        </is>
      </c>
      <c r="J1" s="36" t="inlineStr">
        <is>
          <t>delivery_pickup_each</t>
        </is>
      </c>
      <c r="K1" s="36" t="inlineStr">
        <is>
          <t>delivery_trips</t>
        </is>
      </c>
      <c r="L1" s="36" t="inlineStr">
        <is>
          <t>ext_base</t>
        </is>
      </c>
      <c r="M1" s="36" t="inlineStr">
        <is>
          <t>ext_alt</t>
        </is>
      </c>
      <c r="N1" s="36" t="inlineStr">
        <is>
          <t>notes</t>
        </is>
      </c>
    </row>
    <row r="2" ht="15" customHeight="1" s="26">
      <c r="A2" s="37" t="inlineStr">
        <is>
          <t>E01</t>
        </is>
      </c>
      <c r="B2" s="48" t="inlineStr">
        <is>
          <t>Skid steer with auger</t>
        </is>
      </c>
      <c r="C2" s="41" t="inlineStr">
        <is>
          <t>rented</t>
        </is>
      </c>
      <c r="D2" s="41" t="inlineStr">
        <is>
          <t>day</t>
        </is>
      </c>
      <c r="E2" s="40" t="n">
        <v>302</v>
      </c>
      <c r="F2" s="41" t="n">
        <v>2</v>
      </c>
      <c r="G2" s="41" t="n">
        <v>2</v>
      </c>
      <c r="H2" s="40" t="n">
        <v>40</v>
      </c>
      <c r="I2" s="40" t="n">
        <v>40</v>
      </c>
      <c r="J2" s="40" t="n">
        <v>0</v>
      </c>
      <c r="K2" s="41" t="n">
        <v>0</v>
      </c>
      <c r="L2" s="46">
        <f>IF($B2="",0,IF(AND($E2="",$F2="",$G2=""),0,IF(AND(ISNUMBER($E2),ISNUMBER(F2),ISNUMBER(H2),ISNUMBER($J2),ISNUMBER($K2)),$E2*F2+H2+$J2*$K2,NA())))</f>
        <v/>
      </c>
      <c r="M2" s="46">
        <f>IF($B2="",0,IF(AND($E2="",$F2="",$G2=""),0,IF(AND(ISNUMBER($E2),ISNUMBER(G2),ISNUMBER(I2),ISNUMBER($J2),ISNUMBER($K2)),$E2*G2+I2+$J2*$K2,NA())))</f>
        <v/>
      </c>
      <c r="N2" s="41" t="inlineStr">
        <is>
          <t>Fictional reference estimate; not a vendor quote.</t>
        </is>
      </c>
    </row>
    <row r="3" ht="15" customHeight="1" s="26">
      <c r="A3" s="37" t="inlineStr">
        <is>
          <t>E02</t>
        </is>
      </c>
      <c r="B3" s="48" t="inlineStr">
        <is>
          <t>Post driver</t>
        </is>
      </c>
      <c r="C3" s="41" t="n"/>
      <c r="D3" s="41" t="n"/>
      <c r="E3" s="40" t="n"/>
      <c r="F3" s="41" t="n"/>
      <c r="G3" s="41" t="n"/>
      <c r="H3" s="40" t="n"/>
      <c r="I3" s="40" t="n"/>
      <c r="J3" s="40" t="n"/>
      <c r="K3" s="41" t="n"/>
      <c r="L3" s="46">
        <f>IF($B3="",0,IF(AND($E3="",$F3="",$G3=""),0,IF(AND(ISNUMBER($E3),ISNUMBER(F3),ISNUMBER(H3),ISNUMBER($J3),ISNUMBER($K3)),$E3*F3+H3+$J3*$K3,NA())))</f>
        <v/>
      </c>
      <c r="M3" s="46">
        <f>IF($B3="",0,IF(AND($E3="",$F3="",$G3=""),0,IF(AND(ISNUMBER($E3),ISNUMBER(G3),ISNUMBER(I3),ISNUMBER($J3),ISNUMBER($K3)),$E3*G3+I3+$J3*$K3,NA())))</f>
        <v/>
      </c>
      <c r="N3" s="41" t="n"/>
    </row>
    <row r="4" ht="15" customHeight="1" s="26">
      <c r="A4" s="37" t="inlineStr">
        <is>
          <t>E03</t>
        </is>
      </c>
      <c r="B4" s="48" t="inlineStr">
        <is>
          <t>Mini excavator</t>
        </is>
      </c>
      <c r="C4" s="41" t="n"/>
      <c r="D4" s="41" t="n"/>
      <c r="E4" s="40" t="n"/>
      <c r="F4" s="41" t="n"/>
      <c r="G4" s="41" t="n"/>
      <c r="H4" s="40" t="n"/>
      <c r="I4" s="40" t="n"/>
      <c r="J4" s="40" t="n"/>
      <c r="K4" s="41" t="n"/>
      <c r="L4" s="46">
        <f>IF($B4="",0,IF(AND($E4="",$F4="",$G4=""),0,IF(AND(ISNUMBER($E4),ISNUMBER(F4),ISNUMBER(H4),ISNUMBER($J4),ISNUMBER($K4)),$E4*F4+H4+$J4*$K4,NA())))</f>
        <v/>
      </c>
      <c r="M4" s="46">
        <f>IF($B4="",0,IF(AND($E4="",$F4="",$G4=""),0,IF(AND(ISNUMBER($E4),ISNUMBER(G4),ISNUMBER(I4),ISNUMBER($J4),ISNUMBER($K4)),$E4*G4+I4+$J4*$K4,NA())))</f>
        <v/>
      </c>
      <c r="N4" s="41" t="n"/>
    </row>
    <row r="5" ht="15" customHeight="1" s="26">
      <c r="A5" s="37" t="inlineStr">
        <is>
          <t>E04</t>
        </is>
      </c>
      <c r="B5" s="48" t="inlineStr">
        <is>
          <t>Concrete mixer / mixer truck</t>
        </is>
      </c>
      <c r="C5" s="41" t="n"/>
      <c r="D5" s="41" t="n"/>
      <c r="E5" s="40" t="n"/>
      <c r="F5" s="41" t="n"/>
      <c r="G5" s="41" t="n"/>
      <c r="H5" s="40" t="n"/>
      <c r="I5" s="40" t="n"/>
      <c r="J5" s="40" t="n"/>
      <c r="K5" s="41" t="n"/>
      <c r="L5" s="46">
        <f>IF($B5="",0,IF(AND($E5="",$F5="",$G5=""),0,IF(AND(ISNUMBER($E5),ISNUMBER(F5),ISNUMBER(H5),ISNUMBER($J5),ISNUMBER($K5)),$E5*F5+H5+$J5*$K5,NA())))</f>
        <v/>
      </c>
      <c r="M5" s="46">
        <f>IF($B5="",0,IF(AND($E5="",$F5="",$G5=""),0,IF(AND(ISNUMBER($E5),ISNUMBER(G5),ISNUMBER(I5),ISNUMBER($J5),ISNUMBER($K5)),$E5*G5+I5+$J5*$K5,NA())))</f>
        <v/>
      </c>
      <c r="N5" s="41" t="n"/>
    </row>
    <row r="6" ht="15" customHeight="1" s="26">
      <c r="A6" s="37" t="inlineStr">
        <is>
          <t>E05</t>
        </is>
      </c>
      <c r="B6" s="48" t="inlineStr">
        <is>
          <t>Pickup truck</t>
        </is>
      </c>
      <c r="C6" s="41" t="inlineStr">
        <is>
          <t>owned</t>
        </is>
      </c>
      <c r="D6" s="41" t="inlineStr">
        <is>
          <t>day</t>
        </is>
      </c>
      <c r="E6" s="40" t="n">
        <v>85</v>
      </c>
      <c r="F6" s="41" t="n">
        <v>11</v>
      </c>
      <c r="G6" s="41" t="n">
        <v>9</v>
      </c>
      <c r="H6" s="40" t="n">
        <v>35</v>
      </c>
      <c r="I6" s="40" t="n">
        <v>28</v>
      </c>
      <c r="J6" s="40" t="n">
        <v>0</v>
      </c>
      <c r="K6" s="41" t="n">
        <v>0</v>
      </c>
      <c r="L6" s="46">
        <f>IF($B6="",0,IF(AND($E6="",$F6="",$G6=""),0,IF(AND(ISNUMBER($E6),ISNUMBER(F6),ISNUMBER(H6),ISNUMBER($J6),ISNUMBER($K6)),$E6*F6+H6+$J6*$K6,NA())))</f>
        <v/>
      </c>
      <c r="M6" s="46">
        <f>IF($B6="",0,IF(AND($E6="",$F6="",$G6=""),0,IF(AND(ISNUMBER($E6),ISNUMBER(G6),ISNUMBER(I6),ISNUMBER($J6),ISNUMBER($K6)),$E6*G6+I6+$J6*$K6,NA())))</f>
        <v/>
      </c>
      <c r="N6" s="41" t="inlineStr">
        <is>
          <t>Pickup. Owned-cost allowance, estimate. Fuel for the job.</t>
        </is>
      </c>
    </row>
    <row r="7" ht="15" customHeight="1" s="26">
      <c r="A7" s="37" t="inlineStr">
        <is>
          <t>E06</t>
        </is>
      </c>
      <c r="B7" s="48" t="inlineStr">
        <is>
          <t>Equipment trailer</t>
        </is>
      </c>
      <c r="C7" s="41" t="inlineStr">
        <is>
          <t>owned</t>
        </is>
      </c>
      <c r="D7" s="41" t="inlineStr">
        <is>
          <t>day</t>
        </is>
      </c>
      <c r="E7" s="40" t="n">
        <v>35</v>
      </c>
      <c r="F7" s="41" t="n">
        <v>11</v>
      </c>
      <c r="G7" s="41" t="n">
        <v>9</v>
      </c>
      <c r="H7" s="40" t="n">
        <v>0</v>
      </c>
      <c r="I7" s="40" t="n">
        <v>0</v>
      </c>
      <c r="J7" s="40" t="n">
        <v>0</v>
      </c>
      <c r="K7" s="41" t="n">
        <v>0</v>
      </c>
      <c r="L7" s="46">
        <f>IF($B7="",0,IF(AND($E7="",$F7="",$G7=""),0,IF(AND(ISNUMBER($E7),ISNUMBER(F7),ISNUMBER(H7),ISNUMBER($J7),ISNUMBER($K7)),$E7*F7+H7+$J7*$K7,NA())))</f>
        <v/>
      </c>
      <c r="M7" s="46">
        <f>IF($B7="",0,IF(AND($E7="",$F7="",$G7=""),0,IF(AND(ISNUMBER($E7),ISNUMBER(G7),ISNUMBER(I7),ISNUMBER($J7),ISNUMBER($K7)),$E7*G7+I7+$J7*$K7,NA())))</f>
        <v/>
      </c>
      <c r="N7" s="41" t="inlineStr">
        <is>
          <t>Trailer allowance, estimate.</t>
        </is>
      </c>
    </row>
    <row r="8" ht="15" customHeight="1" s="26">
      <c r="A8" s="37" t="inlineStr">
        <is>
          <t>E07</t>
        </is>
      </c>
      <c r="B8" s="48" t="inlineStr">
        <is>
          <t>Generator</t>
        </is>
      </c>
      <c r="C8" s="41" t="n"/>
      <c r="D8" s="41" t="n"/>
      <c r="E8" s="40" t="n"/>
      <c r="F8" s="41" t="n"/>
      <c r="G8" s="41" t="n"/>
      <c r="H8" s="40" t="n"/>
      <c r="I8" s="40" t="n"/>
      <c r="J8" s="40" t="n"/>
      <c r="K8" s="41" t="n"/>
      <c r="L8" s="46">
        <f>IF($B8="",0,IF(AND($E8="",$F8="",$G8=""),0,IF(AND(ISNUMBER($E8),ISNUMBER(F8),ISNUMBER(H8),ISNUMBER($J8),ISNUMBER($K8)),$E8*F8+H8+$J8*$K8,NA())))</f>
        <v/>
      </c>
      <c r="M8" s="46">
        <f>IF($B8="",0,IF(AND($E8="",$F8="",$G8=""),0,IF(AND(ISNUMBER($E8),ISNUMBER(G8),ISNUMBER(I8),ISNUMBER($J8),ISNUMBER($K8)),$E8*G8+I8+$J8*$K8,NA())))</f>
        <v/>
      </c>
      <c r="N8" s="41" t="n"/>
    </row>
    <row r="9" ht="15" customHeight="1" s="26">
      <c r="A9" s="37" t="inlineStr">
        <is>
          <t>E08</t>
        </is>
      </c>
      <c r="B9" s="48" t="inlineStr">
        <is>
          <t>Laser level / layout tools</t>
        </is>
      </c>
      <c r="C9" s="41" t="inlineStr">
        <is>
          <t>owned</t>
        </is>
      </c>
      <c r="D9" s="41" t="inlineStr">
        <is>
          <t>day</t>
        </is>
      </c>
      <c r="E9" s="40" t="n">
        <v>25</v>
      </c>
      <c r="F9" s="41" t="n">
        <v>3</v>
      </c>
      <c r="G9" s="41" t="n">
        <v>3</v>
      </c>
      <c r="H9" s="40" t="n">
        <v>0</v>
      </c>
      <c r="I9" s="40" t="n">
        <v>0</v>
      </c>
      <c r="J9" s="40" t="n">
        <v>0</v>
      </c>
      <c r="K9" s="41" t="n">
        <v>0</v>
      </c>
      <c r="L9" s="46">
        <f>IF($B9="",0,IF(AND($E9="",$F9="",$G9=""),0,IF(AND(ISNUMBER($E9),ISNUMBER(F9),ISNUMBER(H9),ISNUMBER($J9),ISNUMBER($K9)),$E9*F9+H9+$J9*$K9,NA())))</f>
        <v/>
      </c>
      <c r="M9" s="46">
        <f>IF($B9="",0,IF(AND($E9="",$F9="",$G9=""),0,IF(AND(ISNUMBER($E9),ISNUMBER(G9),ISNUMBER(I9),ISNUMBER($J9),ISNUMBER($K9)),$E9*G9+I9+$J9*$K9,NA())))</f>
        <v/>
      </c>
      <c r="N9" s="41" t="inlineStr">
        <is>
          <t>Laser level and layout tools, allowance.</t>
        </is>
      </c>
    </row>
    <row r="10" ht="15" customHeight="1" s="26">
      <c r="A10" s="37" t="inlineStr">
        <is>
          <t>E09</t>
        </is>
      </c>
      <c r="B10" s="48" t="inlineStr">
        <is>
          <t>Fabric stretcher / come-alongs</t>
        </is>
      </c>
      <c r="C10" s="41" t="inlineStr">
        <is>
          <t>owned</t>
        </is>
      </c>
      <c r="D10" s="41" t="inlineStr">
        <is>
          <t>day</t>
        </is>
      </c>
      <c r="E10" s="40" t="n">
        <v>20</v>
      </c>
      <c r="F10" s="41" t="n">
        <v>6</v>
      </c>
      <c r="G10" s="41" t="n">
        <v>5</v>
      </c>
      <c r="H10" s="40" t="n">
        <v>0</v>
      </c>
      <c r="I10" s="40" t="n">
        <v>0</v>
      </c>
      <c r="J10" s="40" t="n">
        <v>0</v>
      </c>
      <c r="K10" s="41" t="n">
        <v>0</v>
      </c>
      <c r="L10" s="46">
        <f>IF($B10="",0,IF(AND($E10="",$F10="",$G10=""),0,IF(AND(ISNUMBER($E10),ISNUMBER(F10),ISNUMBER(H10),ISNUMBER($J10),ISNUMBER($K10)),$E10*F10+H10+$J10*$K10,NA())))</f>
        <v/>
      </c>
      <c r="M10" s="46">
        <f>IF($B10="",0,IF(AND($E10="",$F10="",$G10=""),0,IF(AND(ISNUMBER($E10),ISNUMBER(G10),ISNUMBER(I10),ISNUMBER($J10),ISNUMBER($K10)),$E10*G10+I10+$J10*$K10,NA())))</f>
        <v/>
      </c>
      <c r="N10" s="41" t="inlineStr">
        <is>
          <t>Fabric stretchers / come-alongs allowance.</t>
        </is>
      </c>
    </row>
    <row r="11" ht="15" customHeight="1" s="26">
      <c r="A11" s="37" t="inlineStr">
        <is>
          <t>E10</t>
        </is>
      </c>
      <c r="B11" s="48" t="inlineStr">
        <is>
          <t>Hand tools and consumables</t>
        </is>
      </c>
      <c r="C11" s="41" t="inlineStr">
        <is>
          <t>owned</t>
        </is>
      </c>
      <c r="D11" s="41" t="inlineStr">
        <is>
          <t>day</t>
        </is>
      </c>
      <c r="E11" s="40" t="n">
        <v>40</v>
      </c>
      <c r="F11" s="41" t="n">
        <v>11</v>
      </c>
      <c r="G11" s="41" t="n">
        <v>9</v>
      </c>
      <c r="H11" s="40" t="n">
        <v>0</v>
      </c>
      <c r="I11" s="40" t="n">
        <v>0</v>
      </c>
      <c r="J11" s="40" t="n">
        <v>0</v>
      </c>
      <c r="K11" s="41" t="n">
        <v>0</v>
      </c>
      <c r="L11" s="46">
        <f>IF($B11="",0,IF(AND($E11="",$F11="",$G11=""),0,IF(AND(ISNUMBER($E11),ISNUMBER(F11),ISNUMBER(H11),ISNUMBER($J11),ISNUMBER($K11)),$E11*F11+H11+$J11*$K11,NA())))</f>
        <v/>
      </c>
      <c r="M11" s="46">
        <f>IF($B11="",0,IF(AND($E11="",$F11="",$G11=""),0,IF(AND(ISNUMBER($E11),ISNUMBER(G11),ISNUMBER(I11),ISNUMBER($J11),ISNUMBER($K11)),$E11*G11+I11+$J11*$K11,NA())))</f>
        <v/>
      </c>
      <c r="N11" s="41" t="inlineStr">
        <is>
          <t>Hand tools and consumables allowance.</t>
        </is>
      </c>
    </row>
    <row r="12" ht="15" customHeight="1" s="26">
      <c r="A12" s="37" t="inlineStr">
        <is>
          <t>E11</t>
        </is>
      </c>
      <c r="B12" s="48" t="inlineStr">
        <is>
          <t>Rental: ______</t>
        </is>
      </c>
      <c r="C12" s="41" t="n"/>
      <c r="D12" s="41" t="n"/>
      <c r="E12" s="40" t="n"/>
      <c r="F12" s="41" t="n"/>
      <c r="G12" s="41" t="n"/>
      <c r="H12" s="40" t="n"/>
      <c r="I12" s="40" t="n"/>
      <c r="J12" s="40" t="n"/>
      <c r="K12" s="41" t="n"/>
      <c r="L12" s="46">
        <f>IF($B12="",0,IF(AND($E12="",$F12="",$G12=""),0,IF(AND(ISNUMBER($E12),ISNUMBER(F12),ISNUMBER(H12),ISNUMBER($J12),ISNUMBER($K12)),$E12*F12+H12+$J12*$K12,NA())))</f>
        <v/>
      </c>
      <c r="M12" s="46">
        <f>IF($B12="",0,IF(AND($E12="",$F12="",$G12=""),0,IF(AND(ISNUMBER($E12),ISNUMBER(G12),ISNUMBER(I12),ISNUMBER($J12),ISNUMBER($K12)),$E12*G12+I12+$J12*$K12,NA())))</f>
        <v/>
      </c>
      <c r="N12" s="41" t="n"/>
    </row>
    <row r="13" ht="15" customHeight="1" s="26">
      <c r="A13" s="37" t="inlineStr">
        <is>
          <t>E12</t>
        </is>
      </c>
      <c r="B13" s="48" t="inlineStr">
        <is>
          <t>Rental: ______</t>
        </is>
      </c>
      <c r="C13" s="41" t="n"/>
      <c r="D13" s="41" t="n"/>
      <c r="E13" s="40" t="n"/>
      <c r="F13" s="41" t="n"/>
      <c r="G13" s="41" t="n"/>
      <c r="H13" s="40" t="n"/>
      <c r="I13" s="40" t="n"/>
      <c r="J13" s="40" t="n"/>
      <c r="K13" s="41" t="n"/>
      <c r="L13" s="46">
        <f>IF($B13="",0,IF(AND($E13="",$F13="",$G13=""),0,IF(AND(ISNUMBER($E13),ISNUMBER(F13),ISNUMBER(H13),ISNUMBER($J13),ISNUMBER($K13)),$E13*F13+H13+$J13*$K13,NA())))</f>
        <v/>
      </c>
      <c r="M13" s="46">
        <f>IF($B13="",0,IF(AND($E13="",$F13="",$G13=""),0,IF(AND(ISNUMBER($E13),ISNUMBER(G13),ISNUMBER(I13),ISNUMBER($J13),ISNUMBER($K13)),$E13*G13+I13+$J13*$K13,NA())))</f>
        <v/>
      </c>
      <c r="N13" s="41" t="n"/>
    </row>
    <row r="14" ht="15" customHeight="1" s="26">
      <c r="A14" s="37" t="n"/>
      <c r="B14" s="48" t="n"/>
      <c r="C14" s="41" t="n"/>
      <c r="D14" s="41" t="n"/>
      <c r="E14" s="40" t="n"/>
      <c r="F14" s="41" t="n"/>
      <c r="G14" s="41" t="n"/>
      <c r="H14" s="40" t="n"/>
      <c r="I14" s="40" t="n"/>
      <c r="J14" s="40" t="n"/>
      <c r="K14" s="41" t="n"/>
      <c r="L14" s="46">
        <f>IF($B14="",0,IF(AND($E14="",$F14="",$G14=""),0,IF(AND(ISNUMBER($E14),ISNUMBER(F14),ISNUMBER(H14),ISNUMBER($J14),ISNUMBER($K14)),$E14*F14+H14+$J14*$K14,NA())))</f>
        <v/>
      </c>
      <c r="M14" s="46">
        <f>IF($B14="",0,IF(AND($E14="",$F14="",$G14=""),0,IF(AND(ISNUMBER($E14),ISNUMBER(G14),ISNUMBER(I14),ISNUMBER($J14),ISNUMBER($K14)),$E14*G14+I14+$J14*$K14,NA())))</f>
        <v/>
      </c>
      <c r="N14" s="41" t="n"/>
    </row>
    <row r="15" ht="15" customHeight="1" s="26">
      <c r="A15" s="37" t="n"/>
      <c r="B15" s="48" t="n"/>
      <c r="C15" s="41" t="n"/>
      <c r="D15" s="41" t="n"/>
      <c r="E15" s="40" t="n"/>
      <c r="F15" s="41" t="n"/>
      <c r="G15" s="41" t="n"/>
      <c r="H15" s="40" t="n"/>
      <c r="I15" s="40" t="n"/>
      <c r="J15" s="40" t="n"/>
      <c r="K15" s="41" t="n"/>
      <c r="L15" s="46">
        <f>IF($B15="",0,IF(AND($E15="",$F15="",$G15=""),0,IF(AND(ISNUMBER($E15),ISNUMBER(F15),ISNUMBER(H15),ISNUMBER($J15),ISNUMBER($K15)),$E15*F15+H15+$J15*$K15,NA())))</f>
        <v/>
      </c>
      <c r="M15" s="46">
        <f>IF($B15="",0,IF(AND($E15="",$F15="",$G15=""),0,IF(AND(ISNUMBER($E15),ISNUMBER(G15),ISNUMBER(I15),ISNUMBER($J15),ISNUMBER($K15)),$E15*G15+I15+$J15*$K15,NA())))</f>
        <v/>
      </c>
      <c r="N15" s="41" t="n"/>
    </row>
    <row r="16" ht="15" customHeight="1" s="26">
      <c r="A16" s="37" t="n"/>
      <c r="B16" s="48" t="n"/>
      <c r="C16" s="41" t="n"/>
      <c r="D16" s="41" t="n"/>
      <c r="E16" s="40" t="n"/>
      <c r="F16" s="41" t="n"/>
      <c r="G16" s="41" t="n"/>
      <c r="H16" s="40" t="n"/>
      <c r="I16" s="40" t="n"/>
      <c r="J16" s="40" t="n"/>
      <c r="K16" s="41" t="n"/>
      <c r="L16" s="46">
        <f>IF($B16="",0,IF(AND($E16="",$F16="",$G16=""),0,IF(AND(ISNUMBER($E16),ISNUMBER(F16),ISNUMBER(H16),ISNUMBER($J16),ISNUMBER($K16)),$E16*F16+H16+$J16*$K16,NA())))</f>
        <v/>
      </c>
      <c r="M16" s="46">
        <f>IF($B16="",0,IF(AND($E16="",$F16="",$G16=""),0,IF(AND(ISNUMBER($E16),ISNUMBER(G16),ISNUMBER(I16),ISNUMBER($J16),ISNUMBER($K16)),$E16*G16+I16+$J16*$K16,NA())))</f>
        <v/>
      </c>
      <c r="N16" s="41" t="n"/>
    </row>
    <row r="17" ht="15" customHeight="1" s="26">
      <c r="A17" s="37" t="n"/>
      <c r="B17" s="48" t="n"/>
      <c r="C17" s="41" t="n"/>
      <c r="D17" s="41" t="n"/>
      <c r="E17" s="40" t="n"/>
      <c r="F17" s="41" t="n"/>
      <c r="G17" s="41" t="n"/>
      <c r="H17" s="40" t="n"/>
      <c r="I17" s="40" t="n"/>
      <c r="J17" s="40" t="n"/>
      <c r="K17" s="41" t="n"/>
      <c r="L17" s="46">
        <f>IF($B17="",0,IF(AND($E17="",$F17="",$G17=""),0,IF(AND(ISNUMBER($E17),ISNUMBER(F17),ISNUMBER(H17),ISNUMBER($J17),ISNUMBER($K17)),$E17*F17+H17+$J17*$K17,NA())))</f>
        <v/>
      </c>
      <c r="M17" s="46">
        <f>IF($B17="",0,IF(AND($E17="",$F17="",$G17=""),0,IF(AND(ISNUMBER($E17),ISNUMBER(G17),ISNUMBER(I17),ISNUMBER($J17),ISNUMBER($K17)),$E17*G17+I17+$J17*$K17,NA())))</f>
        <v/>
      </c>
      <c r="N17" s="41" t="n"/>
    </row>
    <row r="18" ht="15" customHeight="1" s="26">
      <c r="A18" s="37" t="n"/>
      <c r="B18" s="48" t="n"/>
      <c r="C18" s="41" t="n"/>
      <c r="D18" s="41" t="n"/>
      <c r="E18" s="40" t="n"/>
      <c r="F18" s="41" t="n"/>
      <c r="G18" s="41" t="n"/>
      <c r="H18" s="40" t="n"/>
      <c r="I18" s="40" t="n"/>
      <c r="J18" s="40" t="n"/>
      <c r="K18" s="41" t="n"/>
      <c r="L18" s="46">
        <f>IF($B18="",0,IF(AND($E18="",$F18="",$G18=""),0,IF(AND(ISNUMBER($E18),ISNUMBER(F18),ISNUMBER(H18),ISNUMBER($J18),ISNUMBER($K18)),$E18*F18+H18+$J18*$K18,NA())))</f>
        <v/>
      </c>
      <c r="M18" s="46">
        <f>IF($B18="",0,IF(AND($E18="",$F18="",$G18=""),0,IF(AND(ISNUMBER($E18),ISNUMBER(G18),ISNUMBER(I18),ISNUMBER($J18),ISNUMBER($K18)),$E18*G18+I18+$J18*$K18,NA())))</f>
        <v/>
      </c>
      <c r="N18" s="41" t="n"/>
    </row>
    <row r="19" ht="15" customHeight="1" s="26">
      <c r="A19" s="37" t="n"/>
      <c r="B19" s="48" t="n"/>
      <c r="C19" s="41" t="n"/>
      <c r="D19" s="41" t="n"/>
      <c r="E19" s="40" t="n"/>
      <c r="F19" s="41" t="n"/>
      <c r="G19" s="41" t="n"/>
      <c r="H19" s="40" t="n"/>
      <c r="I19" s="40" t="n"/>
      <c r="J19" s="40" t="n"/>
      <c r="K19" s="41" t="n"/>
      <c r="L19" s="46">
        <f>IF($B19="",0,IF(AND($E19="",$F19="",$G19=""),0,IF(AND(ISNUMBER($E19),ISNUMBER(F19),ISNUMBER(H19),ISNUMBER($J19),ISNUMBER($K19)),$E19*F19+H19+$J19*$K19,NA())))</f>
        <v/>
      </c>
      <c r="M19" s="46">
        <f>IF($B19="",0,IF(AND($E19="",$F19="",$G19=""),0,IF(AND(ISNUMBER($E19),ISNUMBER(G19),ISNUMBER(I19),ISNUMBER($J19),ISNUMBER($K19)),$E19*G19+I19+$J19*$K19,NA())))</f>
        <v/>
      </c>
      <c r="N19" s="41" t="n"/>
    </row>
    <row r="20" ht="15" customHeight="1" s="26">
      <c r="A20" s="37" t="n"/>
      <c r="B20" s="48" t="n"/>
      <c r="C20" s="41" t="n"/>
      <c r="D20" s="41" t="n"/>
      <c r="E20" s="40" t="n"/>
      <c r="F20" s="41" t="n"/>
      <c r="G20" s="41" t="n"/>
      <c r="H20" s="40" t="n"/>
      <c r="I20" s="40" t="n"/>
      <c r="J20" s="40" t="n"/>
      <c r="K20" s="41" t="n"/>
      <c r="L20" s="46">
        <f>IF($B20="",0,IF(AND($E20="",$F20="",$G20=""),0,IF(AND(ISNUMBER($E20),ISNUMBER(F20),ISNUMBER(H20),ISNUMBER($J20),ISNUMBER($K20)),$E20*F20+H20+$J20*$K20,NA())))</f>
        <v/>
      </c>
      <c r="M20" s="46">
        <f>IF($B20="",0,IF(AND($E20="",$F20="",$G20=""),0,IF(AND(ISNUMBER($E20),ISNUMBER(G20),ISNUMBER(I20),ISNUMBER($J20),ISNUMBER($K20)),$E20*G20+I20+$J20*$K20,NA())))</f>
        <v/>
      </c>
      <c r="N20" s="41" t="n"/>
    </row>
    <row r="21" ht="15" customHeight="1" s="26">
      <c r="A21" s="37" t="n"/>
      <c r="B21" s="48" t="n"/>
      <c r="C21" s="41" t="n"/>
      <c r="D21" s="41" t="n"/>
      <c r="E21" s="40" t="n"/>
      <c r="F21" s="41" t="n"/>
      <c r="G21" s="41" t="n"/>
      <c r="H21" s="40" t="n"/>
      <c r="I21" s="40" t="n"/>
      <c r="J21" s="40" t="n"/>
      <c r="K21" s="41" t="n"/>
      <c r="L21" s="46">
        <f>IF($B21="",0,IF(AND($E21="",$F21="",$G21=""),0,IF(AND(ISNUMBER($E21),ISNUMBER(F21),ISNUMBER(H21),ISNUMBER($J21),ISNUMBER($K21)),$E21*F21+H21+$J21*$K21,NA())))</f>
        <v/>
      </c>
      <c r="M21" s="46">
        <f>IF($B21="",0,IF(AND($E21="",$F21="",$G21=""),0,IF(AND(ISNUMBER($E21),ISNUMBER(G21),ISNUMBER(I21),ISNUMBER($J21),ISNUMBER($K21)),$E21*G21+I21+$J21*$K21,NA())))</f>
        <v/>
      </c>
      <c r="N21" s="41" t="n"/>
    </row>
    <row r="22" ht="15" customHeight="1" s="26">
      <c r="A22" s="37" t="n"/>
      <c r="B22" s="48" t="n"/>
      <c r="C22" s="41" t="n"/>
      <c r="D22" s="41" t="n"/>
      <c r="E22" s="40" t="n"/>
      <c r="F22" s="41" t="n"/>
      <c r="G22" s="41" t="n"/>
      <c r="H22" s="40" t="n"/>
      <c r="I22" s="40" t="n"/>
      <c r="J22" s="40" t="n"/>
      <c r="K22" s="41" t="n"/>
      <c r="L22" s="46">
        <f>IF($B22="",0,IF(AND($E22="",$F22="",$G22=""),0,IF(AND(ISNUMBER($E22),ISNUMBER(F22),ISNUMBER(H22),ISNUMBER($J22),ISNUMBER($K22)),$E22*F22+H22+$J22*$K22,NA())))</f>
        <v/>
      </c>
      <c r="M22" s="46">
        <f>IF($B22="",0,IF(AND($E22="",$F22="",$G22=""),0,IF(AND(ISNUMBER($E22),ISNUMBER(G22),ISNUMBER(I22),ISNUMBER($J22),ISNUMBER($K22)),$E22*G22+I22+$J22*$K22,NA())))</f>
        <v/>
      </c>
      <c r="N22" s="41" t="n"/>
    </row>
    <row r="23" ht="15" customHeight="1" s="26">
      <c r="A23" s="37" t="n"/>
      <c r="B23" s="48" t="n"/>
      <c r="C23" s="41" t="n"/>
      <c r="D23" s="41" t="n"/>
      <c r="E23" s="40" t="n"/>
      <c r="F23" s="41" t="n"/>
      <c r="G23" s="41" t="n"/>
      <c r="H23" s="40" t="n"/>
      <c r="I23" s="40" t="n"/>
      <c r="J23" s="40" t="n"/>
      <c r="K23" s="41" t="n"/>
      <c r="L23" s="46">
        <f>IF($B23="",0,IF(AND($E23="",$F23="",$G23=""),0,IF(AND(ISNUMBER($E23),ISNUMBER(F23),ISNUMBER(H23),ISNUMBER($J23),ISNUMBER($K23)),$E23*F23+H23+$J23*$K23,NA())))</f>
        <v/>
      </c>
      <c r="M23" s="46">
        <f>IF($B23="",0,IF(AND($E23="",$F23="",$G23=""),0,IF(AND(ISNUMBER($E23),ISNUMBER(G23),ISNUMBER(I23),ISNUMBER($J23),ISNUMBER($K23)),$E23*G23+I23+$J23*$K23,NA())))</f>
        <v/>
      </c>
      <c r="N23" s="41" t="n"/>
    </row>
    <row r="24" ht="15" customHeight="1" s="26">
      <c r="A24" s="37" t="n"/>
      <c r="B24" s="48" t="n"/>
      <c r="C24" s="41" t="n"/>
      <c r="D24" s="41" t="n"/>
      <c r="E24" s="40" t="n"/>
      <c r="F24" s="41" t="n"/>
      <c r="G24" s="41" t="n"/>
      <c r="H24" s="40" t="n"/>
      <c r="I24" s="40" t="n"/>
      <c r="J24" s="40" t="n"/>
      <c r="K24" s="41" t="n"/>
      <c r="L24" s="46">
        <f>IF($B24="",0,IF(AND($E24="",$F24="",$G24=""),0,IF(AND(ISNUMBER($E24),ISNUMBER(F24),ISNUMBER(H24),ISNUMBER($J24),ISNUMBER($K24)),$E24*F24+H24+$J24*$K24,NA())))</f>
        <v/>
      </c>
      <c r="M24" s="46">
        <f>IF($B24="",0,IF(AND($E24="",$F24="",$G24=""),0,IF(AND(ISNUMBER($E24),ISNUMBER(G24),ISNUMBER(I24),ISNUMBER($J24),ISNUMBER($K24)),$E24*G24+I24+$J24*$K24,NA())))</f>
        <v/>
      </c>
      <c r="N24" s="41" t="n"/>
    </row>
    <row r="25" ht="15" customHeight="1" s="26">
      <c r="A25" s="37" t="n"/>
      <c r="B25" s="48" t="n"/>
      <c r="C25" s="41" t="n"/>
      <c r="D25" s="41" t="n"/>
      <c r="E25" s="40" t="n"/>
      <c r="F25" s="41" t="n"/>
      <c r="G25" s="41" t="n"/>
      <c r="H25" s="40" t="n"/>
      <c r="I25" s="40" t="n"/>
      <c r="J25" s="40" t="n"/>
      <c r="K25" s="41" t="n"/>
      <c r="L25" s="46">
        <f>IF($B25="",0,IF(AND($E25="",$F25="",$G25=""),0,IF(AND(ISNUMBER($E25),ISNUMBER(F25),ISNUMBER(H25),ISNUMBER($J25),ISNUMBER($K25)),$E25*F25+H25+$J25*$K25,NA())))</f>
        <v/>
      </c>
      <c r="M25" s="46">
        <f>IF($B25="",0,IF(AND($E25="",$F25="",$G25=""),0,IF(AND(ISNUMBER($E25),ISNUMBER(G25),ISNUMBER(I25),ISNUMBER($J25),ISNUMBER($K25)),$E25*G25+I25+$J25*$K25,NA())))</f>
        <v/>
      </c>
      <c r="N25" s="41" t="n"/>
    </row>
    <row r="26" ht="15" customHeight="1" s="26">
      <c r="A26" s="37" t="n"/>
      <c r="B26" s="48" t="n"/>
      <c r="C26" s="41" t="n"/>
      <c r="D26" s="41" t="n"/>
      <c r="E26" s="40" t="n"/>
      <c r="F26" s="41" t="n"/>
      <c r="G26" s="41" t="n"/>
      <c r="H26" s="40" t="n"/>
      <c r="I26" s="40" t="n"/>
      <c r="J26" s="40" t="n"/>
      <c r="K26" s="41" t="n"/>
      <c r="L26" s="46">
        <f>IF($B26="",0,IF(AND($E26="",$F26="",$G26=""),0,IF(AND(ISNUMBER($E26),ISNUMBER(F26),ISNUMBER(H26),ISNUMBER($J26),ISNUMBER($K26)),$E26*F26+H26+$J26*$K26,NA())))</f>
        <v/>
      </c>
      <c r="M26" s="46">
        <f>IF($B26="",0,IF(AND($E26="",$F26="",$G26=""),0,IF(AND(ISNUMBER($E26),ISNUMBER(G26),ISNUMBER(I26),ISNUMBER($J26),ISNUMBER($K26)),$E26*G26+I26+$J26*$K26,NA())))</f>
        <v/>
      </c>
      <c r="N26" s="41" t="n"/>
    </row>
    <row r="27" ht="15" customHeight="1" s="26">
      <c r="A27" s="37" t="n"/>
      <c r="B27" s="48" t="n"/>
      <c r="C27" s="41" t="n"/>
      <c r="D27" s="41" t="n"/>
      <c r="E27" s="40" t="n"/>
      <c r="F27" s="41" t="n"/>
      <c r="G27" s="41" t="n"/>
      <c r="H27" s="40" t="n"/>
      <c r="I27" s="40" t="n"/>
      <c r="J27" s="40" t="n"/>
      <c r="K27" s="41" t="n"/>
      <c r="L27" s="46">
        <f>IF($B27="",0,IF(AND($E27="",$F27="",$G27=""),0,IF(AND(ISNUMBER($E27),ISNUMBER(F27),ISNUMBER(H27),ISNUMBER($J27),ISNUMBER($K27)),$E27*F27+H27+$J27*$K27,NA())))</f>
        <v/>
      </c>
      <c r="M27" s="46">
        <f>IF($B27="",0,IF(AND($E27="",$F27="",$G27=""),0,IF(AND(ISNUMBER($E27),ISNUMBER(G27),ISNUMBER(I27),ISNUMBER($J27),ISNUMBER($K27)),$E27*G27+I27+$J27*$K27,NA())))</f>
        <v/>
      </c>
      <c r="N27" s="41" t="n"/>
    </row>
    <row r="28" ht="15" customHeight="1" s="26">
      <c r="A28" s="37" t="n"/>
      <c r="B28" s="48" t="n"/>
      <c r="C28" s="41" t="n"/>
      <c r="D28" s="41" t="n"/>
      <c r="E28" s="40" t="n"/>
      <c r="F28" s="41" t="n"/>
      <c r="G28" s="41" t="n"/>
      <c r="H28" s="40" t="n"/>
      <c r="I28" s="40" t="n"/>
      <c r="J28" s="40" t="n"/>
      <c r="K28" s="41" t="n"/>
      <c r="L28" s="46">
        <f>IF($B28="",0,IF(AND($E28="",$F28="",$G28=""),0,IF(AND(ISNUMBER($E28),ISNUMBER(F28),ISNUMBER(H28),ISNUMBER($J28),ISNUMBER($K28)),$E28*F28+H28+$J28*$K28,NA())))</f>
        <v/>
      </c>
      <c r="M28" s="46">
        <f>IF($B28="",0,IF(AND($E28="",$F28="",$G28=""),0,IF(AND(ISNUMBER($E28),ISNUMBER(G28),ISNUMBER(I28),ISNUMBER($J28),ISNUMBER($K28)),$E28*G28+I28+$J28*$K28,NA())))</f>
        <v/>
      </c>
      <c r="N28" s="41" t="n"/>
    </row>
    <row r="29" ht="15" customHeight="1" s="26">
      <c r="A29" s="37" t="n"/>
      <c r="B29" s="48" t="n"/>
      <c r="C29" s="41" t="n"/>
      <c r="D29" s="41" t="n"/>
      <c r="E29" s="40" t="n"/>
      <c r="F29" s="41" t="n"/>
      <c r="G29" s="41" t="n"/>
      <c r="H29" s="40" t="n"/>
      <c r="I29" s="40" t="n"/>
      <c r="J29" s="40" t="n"/>
      <c r="K29" s="41" t="n"/>
      <c r="L29" s="46">
        <f>IF($B29="",0,IF(AND($E29="",$F29="",$G29=""),0,IF(AND(ISNUMBER($E29),ISNUMBER(F29),ISNUMBER(H29),ISNUMBER($J29),ISNUMBER($K29)),$E29*F29+H29+$J29*$K29,NA())))</f>
        <v/>
      </c>
      <c r="M29" s="46">
        <f>IF($B29="",0,IF(AND($E29="",$F29="",$G29=""),0,IF(AND(ISNUMBER($E29),ISNUMBER(G29),ISNUMBER(I29),ISNUMBER($J29),ISNUMBER($K29)),$E29*G29+I29+$J29*$K29,NA())))</f>
        <v/>
      </c>
      <c r="N29" s="41" t="n"/>
    </row>
    <row r="30" ht="15" customHeight="1" s="26">
      <c r="A30" s="37" t="n"/>
      <c r="B30" s="48" t="n"/>
      <c r="C30" s="41" t="n"/>
      <c r="D30" s="41" t="n"/>
      <c r="E30" s="40" t="n"/>
      <c r="F30" s="41" t="n"/>
      <c r="G30" s="41" t="n"/>
      <c r="H30" s="40" t="n"/>
      <c r="I30" s="40" t="n"/>
      <c r="J30" s="40" t="n"/>
      <c r="K30" s="41" t="n"/>
      <c r="L30" s="46">
        <f>IF($B30="",0,IF(AND($E30="",$F30="",$G30=""),0,IF(AND(ISNUMBER($E30),ISNUMBER(F30),ISNUMBER(H30),ISNUMBER($J30),ISNUMBER($K30)),$E30*F30+H30+$J30*$K30,NA())))</f>
        <v/>
      </c>
      <c r="M30" s="46">
        <f>IF($B30="",0,IF(AND($E30="",$F30="",$G30=""),0,IF(AND(ISNUMBER($E30),ISNUMBER(G30),ISNUMBER(I30),ISNUMBER($J30),ISNUMBER($K30)),$E30*G30+I30+$J30*$K30,NA())))</f>
        <v/>
      </c>
      <c r="N30" s="41" t="n"/>
    </row>
    <row r="31" ht="15" customHeight="1" s="26">
      <c r="A31" s="37" t="n"/>
      <c r="B31" s="48" t="n"/>
      <c r="C31" s="41" t="n"/>
      <c r="D31" s="41" t="n"/>
      <c r="E31" s="40" t="n"/>
      <c r="F31" s="41" t="n"/>
      <c r="G31" s="41" t="n"/>
      <c r="H31" s="40" t="n"/>
      <c r="I31" s="40" t="n"/>
      <c r="J31" s="40" t="n"/>
      <c r="K31" s="41" t="n"/>
      <c r="L31" s="46">
        <f>IF($B31="",0,IF(AND($E31="",$F31="",$G31=""),0,IF(AND(ISNUMBER($E31),ISNUMBER(F31),ISNUMBER(H31),ISNUMBER($J31),ISNUMBER($K31)),$E31*F31+H31+$J31*$K31,NA())))</f>
        <v/>
      </c>
      <c r="M31" s="46">
        <f>IF($B31="",0,IF(AND($E31="",$F31="",$G31=""),0,IF(AND(ISNUMBER($E31),ISNUMBER(G31),ISNUMBER(I31),ISNUMBER($J31),ISNUMBER($K31)),$E31*G31+I31+$J31*$K31,NA())))</f>
        <v/>
      </c>
      <c r="N31" s="41" t="n"/>
    </row>
    <row r="32" ht="15" customHeight="1" s="26">
      <c r="A32" s="37" t="n"/>
      <c r="B32" s="48" t="n"/>
      <c r="C32" s="41" t="n"/>
      <c r="D32" s="41" t="n"/>
      <c r="E32" s="40" t="n"/>
      <c r="F32" s="41" t="n"/>
      <c r="G32" s="41" t="n"/>
      <c r="H32" s="40" t="n"/>
      <c r="I32" s="40" t="n"/>
      <c r="J32" s="40" t="n"/>
      <c r="K32" s="41" t="n"/>
      <c r="L32" s="46">
        <f>IF($B32="",0,IF(AND($E32="",$F32="",$G32=""),0,IF(AND(ISNUMBER($E32),ISNUMBER(F32),ISNUMBER(H32),ISNUMBER($J32),ISNUMBER($K32)),$E32*F32+H32+$J32*$K32,NA())))</f>
        <v/>
      </c>
      <c r="M32" s="46">
        <f>IF($B32="",0,IF(AND($E32="",$F32="",$G32=""),0,IF(AND(ISNUMBER($E32),ISNUMBER(G32),ISNUMBER(I32),ISNUMBER($J32),ISNUMBER($K32)),$E32*G32+I32+$J32*$K32,NA())))</f>
        <v/>
      </c>
      <c r="N32" s="41" t="n"/>
    </row>
    <row r="33" ht="15" customHeight="1" s="26">
      <c r="A33" s="37" t="n"/>
      <c r="B33" s="48" t="n"/>
      <c r="C33" s="41" t="n"/>
      <c r="D33" s="41" t="n"/>
      <c r="E33" s="40" t="n"/>
      <c r="F33" s="41" t="n"/>
      <c r="G33" s="41" t="n"/>
      <c r="H33" s="40" t="n"/>
      <c r="I33" s="40" t="n"/>
      <c r="J33" s="40" t="n"/>
      <c r="K33" s="41" t="n"/>
      <c r="L33" s="46">
        <f>IF($B33="",0,IF(AND($E33="",$F33="",$G33=""),0,IF(AND(ISNUMBER($E33),ISNUMBER(F33),ISNUMBER(H33),ISNUMBER($J33),ISNUMBER($K33)),$E33*F33+H33+$J33*$K33,NA())))</f>
        <v/>
      </c>
      <c r="M33" s="46">
        <f>IF($B33="",0,IF(AND($E33="",$F33="",$G33=""),0,IF(AND(ISNUMBER($E33),ISNUMBER(G33),ISNUMBER(I33),ISNUMBER($J33),ISNUMBER($K33)),$E33*G33+I33+$J33*$K33,NA())))</f>
        <v/>
      </c>
      <c r="N33" s="41" t="n"/>
    </row>
    <row r="34" ht="15" customHeight="1" s="26">
      <c r="A34" s="37" t="n"/>
      <c r="B34" s="48" t="n"/>
      <c r="C34" s="41" t="n"/>
      <c r="D34" s="41" t="n"/>
      <c r="E34" s="40" t="n"/>
      <c r="F34" s="41" t="n"/>
      <c r="G34" s="41" t="n"/>
      <c r="H34" s="40" t="n"/>
      <c r="I34" s="40" t="n"/>
      <c r="J34" s="40" t="n"/>
      <c r="K34" s="41" t="n"/>
      <c r="L34" s="46">
        <f>IF($B34="",0,IF(AND($E34="",$F34="",$G34=""),0,IF(AND(ISNUMBER($E34),ISNUMBER(F34),ISNUMBER(H34),ISNUMBER($J34),ISNUMBER($K34)),$E34*F34+H34+$J34*$K34,NA())))</f>
        <v/>
      </c>
      <c r="M34" s="46">
        <f>IF($B34="",0,IF(AND($E34="",$F34="",$G34=""),0,IF(AND(ISNUMBER($E34),ISNUMBER(G34),ISNUMBER(I34),ISNUMBER($J34),ISNUMBER($K34)),$E34*G34+I34+$J34*$K34,NA())))</f>
        <v/>
      </c>
      <c r="N34" s="41" t="n"/>
    </row>
    <row r="35" ht="15" customHeight="1" s="26">
      <c r="A35" s="37" t="n"/>
      <c r="B35" s="48" t="n"/>
      <c r="C35" s="41" t="n"/>
      <c r="D35" s="41" t="n"/>
      <c r="E35" s="40" t="n"/>
      <c r="F35" s="41" t="n"/>
      <c r="G35" s="41" t="n"/>
      <c r="H35" s="40" t="n"/>
      <c r="I35" s="40" t="n"/>
      <c r="J35" s="40" t="n"/>
      <c r="K35" s="41" t="n"/>
      <c r="L35" s="46">
        <f>IF($B35="",0,IF(AND($E35="",$F35="",$G35=""),0,IF(AND(ISNUMBER($E35),ISNUMBER(F35),ISNUMBER(H35),ISNUMBER($J35),ISNUMBER($K35)),$E35*F35+H35+$J35*$K35,NA())))</f>
        <v/>
      </c>
      <c r="M35" s="46">
        <f>IF($B35="",0,IF(AND($E35="",$F35="",$G35=""),0,IF(AND(ISNUMBER($E35),ISNUMBER(G35),ISNUMBER(I35),ISNUMBER($J35),ISNUMBER($K35)),$E35*G35+I35+$J35*$K35,NA())))</f>
        <v/>
      </c>
      <c r="N35" s="41" t="n"/>
    </row>
    <row r="36" ht="15" customHeight="1" s="26">
      <c r="A36" s="37" t="n"/>
      <c r="B36" s="48" t="n"/>
      <c r="C36" s="41" t="n"/>
      <c r="D36" s="41" t="n"/>
      <c r="E36" s="40" t="n"/>
      <c r="F36" s="41" t="n"/>
      <c r="G36" s="41" t="n"/>
      <c r="H36" s="40" t="n"/>
      <c r="I36" s="40" t="n"/>
      <c r="J36" s="40" t="n"/>
      <c r="K36" s="41" t="n"/>
      <c r="L36" s="46">
        <f>IF($B36="",0,IF(AND($E36="",$F36="",$G36=""),0,IF(AND(ISNUMBER($E36),ISNUMBER(F36),ISNUMBER(H36),ISNUMBER($J36),ISNUMBER($K36)),$E36*F36+H36+$J36*$K36,NA())))</f>
        <v/>
      </c>
      <c r="M36" s="46">
        <f>IF($B36="",0,IF(AND($E36="",$F36="",$G36=""),0,IF(AND(ISNUMBER($E36),ISNUMBER(G36),ISNUMBER(I36),ISNUMBER($J36),ISNUMBER($K36)),$E36*G36+I36+$J36*$K36,NA())))</f>
        <v/>
      </c>
      <c r="N36" s="41" t="n"/>
    </row>
    <row r="37" ht="15" customHeight="1" s="26">
      <c r="A37" s="37" t="n"/>
      <c r="B37" s="48" t="n"/>
      <c r="C37" s="41" t="n"/>
      <c r="D37" s="41" t="n"/>
      <c r="E37" s="40" t="n"/>
      <c r="F37" s="41" t="n"/>
      <c r="G37" s="41" t="n"/>
      <c r="H37" s="40" t="n"/>
      <c r="I37" s="40" t="n"/>
      <c r="J37" s="40" t="n"/>
      <c r="K37" s="41" t="n"/>
      <c r="L37" s="46">
        <f>IF($B37="",0,IF(AND($E37="",$F37="",$G37=""),0,IF(AND(ISNUMBER($E37),ISNUMBER(F37),ISNUMBER(H37),ISNUMBER($J37),ISNUMBER($K37)),$E37*F37+H37+$J37*$K37,NA())))</f>
        <v/>
      </c>
      <c r="M37" s="46">
        <f>IF($B37="",0,IF(AND($E37="",$F37="",$G37=""),0,IF(AND(ISNUMBER($E37),ISNUMBER(G37),ISNUMBER(I37),ISNUMBER($J37),ISNUMBER($K37)),$E37*G37+I37+$J37*$K37,NA())))</f>
        <v/>
      </c>
      <c r="N37" s="41" t="n"/>
    </row>
    <row r="38" ht="15" customHeight="1" s="26">
      <c r="A38" s="37" t="n"/>
      <c r="B38" s="48" t="n"/>
      <c r="C38" s="41" t="n"/>
      <c r="D38" s="41" t="n"/>
      <c r="E38" s="40" t="n"/>
      <c r="F38" s="41" t="n"/>
      <c r="G38" s="41" t="n"/>
      <c r="H38" s="40" t="n"/>
      <c r="I38" s="40" t="n"/>
      <c r="J38" s="40" t="n"/>
      <c r="K38" s="41" t="n"/>
      <c r="L38" s="46">
        <f>IF($B38="",0,IF(AND($E38="",$F38="",$G38=""),0,IF(AND(ISNUMBER($E38),ISNUMBER(F38),ISNUMBER(H38),ISNUMBER($J38),ISNUMBER($K38)),$E38*F38+H38+$J38*$K38,NA())))</f>
        <v/>
      </c>
      <c r="M38" s="46">
        <f>IF($B38="",0,IF(AND($E38="",$F38="",$G38=""),0,IF(AND(ISNUMBER($E38),ISNUMBER(G38),ISNUMBER(I38),ISNUMBER($J38),ISNUMBER($K38)),$E38*G38+I38+$J38*$K38,NA())))</f>
        <v/>
      </c>
      <c r="N38" s="41" t="n"/>
    </row>
    <row r="39" ht="15" customHeight="1" s="26">
      <c r="A39" s="37" t="n"/>
      <c r="B39" s="48" t="n"/>
      <c r="C39" s="41" t="n"/>
      <c r="D39" s="41" t="n"/>
      <c r="E39" s="40" t="n"/>
      <c r="F39" s="41" t="n"/>
      <c r="G39" s="41" t="n"/>
      <c r="H39" s="40" t="n"/>
      <c r="I39" s="40" t="n"/>
      <c r="J39" s="40" t="n"/>
      <c r="K39" s="41" t="n"/>
      <c r="L39" s="46">
        <f>IF($B39="",0,IF(AND($E39="",$F39="",$G39=""),0,IF(AND(ISNUMBER($E39),ISNUMBER(F39),ISNUMBER(H39),ISNUMBER($J39),ISNUMBER($K39)),$E39*F39+H39+$J39*$K39,NA())))</f>
        <v/>
      </c>
      <c r="M39" s="46">
        <f>IF($B39="",0,IF(AND($E39="",$F39="",$G39=""),0,IF(AND(ISNUMBER($E39),ISNUMBER(G39),ISNUMBER(I39),ISNUMBER($J39),ISNUMBER($K39)),$E39*G39+I39+$J39*$K39,NA())))</f>
        <v/>
      </c>
      <c r="N39" s="41" t="n"/>
    </row>
    <row r="40" ht="15" customHeight="1" s="26">
      <c r="A40" s="37" t="n"/>
      <c r="B40" s="48" t="n"/>
      <c r="C40" s="41" t="n"/>
      <c r="D40" s="41" t="n"/>
      <c r="E40" s="40" t="n"/>
      <c r="F40" s="41" t="n"/>
      <c r="G40" s="41" t="n"/>
      <c r="H40" s="40" t="n"/>
      <c r="I40" s="40" t="n"/>
      <c r="J40" s="40" t="n"/>
      <c r="K40" s="41" t="n"/>
      <c r="L40" s="46">
        <f>IF($B40="",0,IF(AND($E40="",$F40="",$G40=""),0,IF(AND(ISNUMBER($E40),ISNUMBER(F40),ISNUMBER(H40),ISNUMBER($J40),ISNUMBER($K40)),$E40*F40+H40+$J40*$K40,NA())))</f>
        <v/>
      </c>
      <c r="M40" s="46">
        <f>IF($B40="",0,IF(AND($E40="",$F40="",$G40=""),0,IF(AND(ISNUMBER($E40),ISNUMBER(G40),ISNUMBER(I40),ISNUMBER($J40),ISNUMBER($K40)),$E40*G40+I40+$J40*$K40,NA())))</f>
        <v/>
      </c>
      <c r="N40" s="41" t="n"/>
    </row>
  </sheetData>
  <dataValidations count="1">
    <dataValidation sqref="C2:C40" showDropDown="0" showInputMessage="0" showErrorMessage="0" allowBlank="1" type="list" errorStyle="stop" operator="between">
      <formula1>"owned,rented,sub"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5" min="1" max="1"/>
    <col width="18" customWidth="1" style="25" min="2" max="2"/>
    <col width="40" customWidth="1" style="25" min="3" max="3"/>
    <col width="14" customWidth="1" style="25" min="4" max="4"/>
    <col width="12" customWidth="1" style="25" min="5" max="7"/>
    <col width="14" customWidth="1" style="25" min="8" max="9"/>
    <col width="30" customWidth="1" style="25" min="10" max="10"/>
  </cols>
  <sheetData>
    <row r="1" ht="31.5" customHeight="1" s="26">
      <c r="A1" s="36" t="inlineStr">
        <is>
          <t>line_id</t>
        </is>
      </c>
      <c r="B1" s="36" t="inlineStr">
        <is>
          <t>category</t>
        </is>
      </c>
      <c r="C1" s="36" t="inlineStr">
        <is>
          <t>item</t>
        </is>
      </c>
      <c r="D1" s="36" t="inlineStr">
        <is>
          <t>basis</t>
        </is>
      </c>
      <c r="E1" s="36" t="inlineStr">
        <is>
          <t>unit_cost</t>
        </is>
      </c>
      <c r="F1" s="36" t="inlineStr">
        <is>
          <t>qty_base</t>
        </is>
      </c>
      <c r="G1" s="36" t="inlineStr">
        <is>
          <t>qty_alt</t>
        </is>
      </c>
      <c r="H1" s="36" t="inlineStr">
        <is>
          <t>ext_base</t>
        </is>
      </c>
      <c r="I1" s="36" t="inlineStr">
        <is>
          <t>ext_alt</t>
        </is>
      </c>
      <c r="J1" s="36" t="inlineStr">
        <is>
          <t>notes</t>
        </is>
      </c>
    </row>
    <row r="2" ht="15" customHeight="1" s="26">
      <c r="A2" s="37" t="inlineStr">
        <is>
          <t>O01</t>
        </is>
      </c>
      <c r="B2" s="41" t="inlineStr">
        <is>
          <t>Mobilization</t>
        </is>
      </c>
      <c r="C2" s="41" t="inlineStr">
        <is>
          <t>Mobilize crew and equipment to site</t>
        </is>
      </c>
      <c r="D2" s="41" t="inlineStr">
        <is>
          <t>trip</t>
        </is>
      </c>
      <c r="E2" s="40" t="n">
        <v>250</v>
      </c>
      <c r="F2" s="41" t="n">
        <v>1</v>
      </c>
      <c r="G2" s="41" t="n">
        <v>1</v>
      </c>
      <c r="H2" s="46">
        <f>IF($C2="",0,IF(AND($E2="",$F2="",$G2=""),0,IF(AND(ISNUMBER($E2),ISNUMBER(F2)),$E2*F2,NA())))</f>
        <v/>
      </c>
      <c r="I2" s="46">
        <f>IF($C2="",0,IF(AND($E2="",$F2="",$G2=""),0,IF(AND(ISNUMBER($E2),ISNUMBER(G2)),$E2*G2,NA())))</f>
        <v/>
      </c>
      <c r="J2" s="41" t="n"/>
    </row>
    <row r="3" ht="15" customHeight="1" s="26">
      <c r="A3" s="37" t="inlineStr">
        <is>
          <t>O02</t>
        </is>
      </c>
      <c r="B3" s="41" t="inlineStr">
        <is>
          <t>Mobilization</t>
        </is>
      </c>
      <c r="C3" s="41" t="inlineStr">
        <is>
          <t>Demobilize</t>
        </is>
      </c>
      <c r="D3" s="41" t="inlineStr">
        <is>
          <t>trip</t>
        </is>
      </c>
      <c r="E3" s="40" t="n">
        <v>250</v>
      </c>
      <c r="F3" s="41" t="n">
        <v>1</v>
      </c>
      <c r="G3" s="41" t="n">
        <v>1</v>
      </c>
      <c r="H3" s="46">
        <f>IF($C3="",0,IF(AND($E3="",$F3="",$G3=""),0,IF(AND(ISNUMBER($E3),ISNUMBER(F3)),$E3*F3,NA())))</f>
        <v/>
      </c>
      <c r="I3" s="46">
        <f>IF($C3="",0,IF(AND($E3="",$F3="",$G3=""),0,IF(AND(ISNUMBER($E3),ISNUMBER(G3)),$E3*G3,NA())))</f>
        <v/>
      </c>
      <c r="J3" s="41" t="n"/>
    </row>
    <row r="4" ht="15" customHeight="1" s="26">
      <c r="A4" s="37" t="inlineStr">
        <is>
          <t>O03</t>
        </is>
      </c>
      <c r="B4" s="41" t="inlineStr">
        <is>
          <t>Mobilization</t>
        </is>
      </c>
      <c r="C4" s="41" t="inlineStr">
        <is>
          <t>Additional trips (gates, windscreen, punch list)</t>
        </is>
      </c>
      <c r="D4" s="41" t="inlineStr">
        <is>
          <t>trip</t>
        </is>
      </c>
      <c r="E4" s="40" t="n">
        <v>250</v>
      </c>
      <c r="F4" s="41" t="n">
        <v>3</v>
      </c>
      <c r="G4" s="41" t="n">
        <v>2</v>
      </c>
      <c r="H4" s="46">
        <f>IF($C4="",0,IF(AND($E4="",$F4="",$G4=""),0,IF(AND(ISNUMBER($E4),ISNUMBER(F4)),$E4*F4,NA())))</f>
        <v/>
      </c>
      <c r="I4" s="46">
        <f>IF($C4="",0,IF(AND($E4="",$F4="",$G4=""),0,IF(AND(ISNUMBER($E4),ISNUMBER(G4)),$E4*G4,NA())))</f>
        <v/>
      </c>
      <c r="J4" s="41" t="n"/>
    </row>
    <row r="5" ht="15" customHeight="1" s="26">
      <c r="A5" s="37" t="inlineStr">
        <is>
          <t>O04</t>
        </is>
      </c>
      <c r="B5" s="41" t="inlineStr">
        <is>
          <t>Mobilization</t>
        </is>
      </c>
      <c r="C5" s="41" t="inlineStr">
        <is>
          <t>Truck mileage</t>
        </is>
      </c>
      <c r="D5" s="41" t="inlineStr">
        <is>
          <t>mile</t>
        </is>
      </c>
      <c r="E5" s="40" t="n">
        <v>1</v>
      </c>
      <c r="F5" s="41" t="n">
        <v>600</v>
      </c>
      <c r="G5" s="41" t="n">
        <v>480</v>
      </c>
      <c r="H5" s="46">
        <f>IF($C5="",0,IF(AND($E5="",$F5="",$G5=""),0,IF(AND(ISNUMBER($E5),ISNUMBER(F5)),$E5*F5,NA())))</f>
        <v/>
      </c>
      <c r="I5" s="46">
        <f>IF($C5="",0,IF(AND($E5="",$F5="",$G5=""),0,IF(AND(ISNUMBER($E5),ISNUMBER(G5)),$E5*G5,NA())))</f>
        <v/>
      </c>
      <c r="J5" s="41" t="inlineStr">
        <is>
          <t>Fictional reference estimate; not a vendor quote.</t>
        </is>
      </c>
    </row>
    <row r="6" ht="15" customHeight="1" s="26">
      <c r="A6" s="37" t="inlineStr">
        <is>
          <t>O05</t>
        </is>
      </c>
      <c r="B6" s="41" t="inlineStr">
        <is>
          <t>Mobilization</t>
        </is>
      </c>
      <c r="C6" s="41" t="inlineStr">
        <is>
          <t>Per diem / lodging</t>
        </is>
      </c>
      <c r="D6" s="41" t="inlineStr">
        <is>
          <t>day</t>
        </is>
      </c>
      <c r="E6" s="40" t="n"/>
      <c r="F6" s="41" t="n"/>
      <c r="G6" s="41" t="n"/>
      <c r="H6" s="46">
        <f>IF($C6="",0,IF(AND($E6="",$F6="",$G6=""),0,IF(AND(ISNUMBER($E6),ISNUMBER(F6)),$E6*F6,NA())))</f>
        <v/>
      </c>
      <c r="I6" s="46">
        <f>IF($C6="",0,IF(AND($E6="",$F6="",$G6=""),0,IF(AND(ISNUMBER($E6),ISNUMBER(G6)),$E6*G6,NA())))</f>
        <v/>
      </c>
      <c r="J6" s="41" t="n"/>
    </row>
    <row r="7" ht="15" customHeight="1" s="26">
      <c r="A7" s="37" t="inlineStr">
        <is>
          <t>O06</t>
        </is>
      </c>
      <c r="B7" s="41" t="inlineStr">
        <is>
          <t>Site</t>
        </is>
      </c>
      <c r="C7" s="41" t="inlineStr">
        <is>
          <t>Utility locates (811) and private locate</t>
        </is>
      </c>
      <c r="D7" s="41" t="inlineStr">
        <is>
          <t>each</t>
        </is>
      </c>
      <c r="E7" s="40" t="n">
        <v>350</v>
      </c>
      <c r="F7" s="41" t="n">
        <v>1</v>
      </c>
      <c r="G7" s="41" t="n">
        <v>1</v>
      </c>
      <c r="H7" s="46">
        <f>IF($C7="",0,IF(AND($E7="",$F7="",$G7=""),0,IF(AND(ISNUMBER($E7),ISNUMBER(F7)),$E7*F7,NA())))</f>
        <v/>
      </c>
      <c r="I7" s="46">
        <f>IF($C7="",0,IF(AND($E7="",$F7="",$G7=""),0,IF(AND(ISNUMBER($E7),ISNUMBER(G7)),$E7*G7,NA())))</f>
        <v/>
      </c>
      <c r="J7" s="41" t="inlineStr">
        <is>
          <t>Private utility locate allowance. 811 is free.</t>
        </is>
      </c>
    </row>
    <row r="8" ht="15" customHeight="1" s="26">
      <c r="A8" s="37" t="inlineStr">
        <is>
          <t>O07</t>
        </is>
      </c>
      <c r="B8" s="41" t="inlineStr">
        <is>
          <t>Site</t>
        </is>
      </c>
      <c r="C8" s="41" t="inlineStr">
        <is>
          <t>Permit and fees</t>
        </is>
      </c>
      <c r="D8" s="41" t="inlineStr">
        <is>
          <t>each</t>
        </is>
      </c>
      <c r="E8" s="40" t="n">
        <v>150</v>
      </c>
      <c r="F8" s="41" t="n">
        <v>1</v>
      </c>
      <c r="G8" s="41" t="n">
        <v>1</v>
      </c>
      <c r="H8" s="46">
        <f>IF($C8="",0,IF(AND($E8="",$F8="",$G8=""),0,IF(AND(ISNUMBER($E8),ISNUMBER(F8)),$E8*F8,NA())))</f>
        <v/>
      </c>
      <c r="I8" s="46">
        <f>IF($C8="",0,IF(AND($E8="",$F8="",$G8=""),0,IF(AND(ISNUMBER($E8),ISNUMBER(G8)),$E8*G8,NA())))</f>
        <v/>
      </c>
      <c r="J8" s="41" t="inlineStr">
        <is>
          <t>Allowance, jurisdiction dependent.</t>
        </is>
      </c>
    </row>
    <row r="9" ht="15" customHeight="1" s="26">
      <c r="A9" s="37" t="inlineStr">
        <is>
          <t>O08</t>
        </is>
      </c>
      <c r="B9" s="41" t="inlineStr">
        <is>
          <t>Site</t>
        </is>
      </c>
      <c r="C9" s="41" t="inlineStr">
        <is>
          <t>Survey / layout subcontract</t>
        </is>
      </c>
      <c r="D9" s="41" t="inlineStr">
        <is>
          <t>each</t>
        </is>
      </c>
      <c r="E9" s="40" t="n"/>
      <c r="F9" s="41" t="n"/>
      <c r="G9" s="41" t="n"/>
      <c r="H9" s="46">
        <f>IF($C9="",0,IF(AND($E9="",$F9="",$G9=""),0,IF(AND(ISNUMBER($E9),ISNUMBER(F9)),$E9*F9,NA())))</f>
        <v/>
      </c>
      <c r="I9" s="46">
        <f>IF($C9="",0,IF(AND($E9="",$F9="",$G9=""),0,IF(AND(ISNUMBER($E9),ISNUMBER(G9)),$E9*G9,NA())))</f>
        <v/>
      </c>
      <c r="J9" s="41" t="n"/>
    </row>
    <row r="10" ht="15" customHeight="1" s="26">
      <c r="A10" s="37" t="inlineStr">
        <is>
          <t>O09</t>
        </is>
      </c>
      <c r="B10" s="41" t="inlineStr">
        <is>
          <t>Site</t>
        </is>
      </c>
      <c r="C10" s="41" t="inlineStr">
        <is>
          <t>Spoils haul / dumpster</t>
        </is>
      </c>
      <c r="D10" s="41" t="inlineStr">
        <is>
          <t>each</t>
        </is>
      </c>
      <c r="E10" s="40" t="n">
        <v>350</v>
      </c>
      <c r="F10" s="41" t="n">
        <v>1</v>
      </c>
      <c r="G10" s="41" t="n">
        <v>1</v>
      </c>
      <c r="H10" s="46">
        <f>IF($C10="",0,IF(AND($E10="",$F10="",$G10=""),0,IF(AND(ISNUMBER($E10),ISNUMBER(F10)),$E10*F10,NA())))</f>
        <v/>
      </c>
      <c r="I10" s="46">
        <f>IF($C10="",0,IF(AND($E10="",$F10="",$G10=""),0,IF(AND(ISNUMBER($E10),ISNUMBER(G10)),$E10*G10,NA())))</f>
        <v/>
      </c>
      <c r="J10" s="41" t="inlineStr">
        <is>
          <t>One spoils haul allowance. Human estimate; revisit when quantities change.</t>
        </is>
      </c>
    </row>
    <row r="11" ht="15" customHeight="1" s="26">
      <c r="A11" s="37" t="inlineStr">
        <is>
          <t>O10</t>
        </is>
      </c>
      <c r="B11" s="41" t="inlineStr">
        <is>
          <t>Site</t>
        </is>
      </c>
      <c r="C11" s="41" t="inlineStr">
        <is>
          <t>Traffic control</t>
        </is>
      </c>
      <c r="D11" s="41" t="inlineStr">
        <is>
          <t>day</t>
        </is>
      </c>
      <c r="E11" s="40" t="n"/>
      <c r="F11" s="41" t="n"/>
      <c r="G11" s="41" t="n"/>
      <c r="H11" s="46">
        <f>IF($C11="",0,IF(AND($E11="",$F11="",$G11=""),0,IF(AND(ISNUMBER($E11),ISNUMBER(F11)),$E11*F11,NA())))</f>
        <v/>
      </c>
      <c r="I11" s="46">
        <f>IF($C11="",0,IF(AND($E11="",$F11="",$G11=""),0,IF(AND(ISNUMBER($E11),ISNUMBER(G11)),$E11*G11,NA())))</f>
        <v/>
      </c>
      <c r="J11" s="41" t="n"/>
    </row>
    <row r="12" ht="15" customHeight="1" s="26">
      <c r="A12" s="37" t="inlineStr">
        <is>
          <t>O11</t>
        </is>
      </c>
      <c r="B12" s="41" t="inlineStr">
        <is>
          <t>Site</t>
        </is>
      </c>
      <c r="C12" s="41" t="inlineStr">
        <is>
          <t>Temporary fence / site protection</t>
        </is>
      </c>
      <c r="D12" s="41" t="inlineStr">
        <is>
          <t>LF</t>
        </is>
      </c>
      <c r="E12" s="40" t="n"/>
      <c r="F12" s="41" t="n"/>
      <c r="G12" s="41" t="n"/>
      <c r="H12" s="46">
        <f>IF($C12="",0,IF(AND($E12="",$F12="",$G12=""),0,IF(AND(ISNUMBER($E12),ISNUMBER(F12)),$E12*F12,NA())))</f>
        <v/>
      </c>
      <c r="I12" s="46">
        <f>IF($C12="",0,IF(AND($E12="",$F12="",$G12=""),0,IF(AND(ISNUMBER($E12),ISNUMBER(G12)),$E12*G12,NA())))</f>
        <v/>
      </c>
      <c r="J12" s="41" t="n"/>
    </row>
    <row r="13" ht="15" customHeight="1" s="26">
      <c r="A13" s="37" t="inlineStr">
        <is>
          <t>O12</t>
        </is>
      </c>
      <c r="B13" s="41" t="inlineStr">
        <is>
          <t>Subcontract</t>
        </is>
      </c>
      <c r="C13" s="41" t="inlineStr">
        <is>
          <t>Core drilling / rock</t>
        </is>
      </c>
      <c r="D13" s="41" t="inlineStr">
        <is>
          <t>each</t>
        </is>
      </c>
      <c r="E13" s="40" t="n"/>
      <c r="F13" s="41" t="n"/>
      <c r="G13" s="41" t="n"/>
      <c r="H13" s="46">
        <f>IF($C13="",0,IF(AND($E13="",$F13="",$G13=""),0,IF(AND(ISNUMBER($E13),ISNUMBER(F13)),$E13*F13,NA())))</f>
        <v/>
      </c>
      <c r="I13" s="46">
        <f>IF($C13="",0,IF(AND($E13="",$F13="",$G13=""),0,IF(AND(ISNUMBER($E13),ISNUMBER(G13)),$E13*G13,NA())))</f>
        <v/>
      </c>
      <c r="J13" s="41" t="n"/>
    </row>
    <row r="14" ht="15" customHeight="1" s="26">
      <c r="A14" s="37" t="inlineStr">
        <is>
          <t>O13</t>
        </is>
      </c>
      <c r="B14" s="41" t="inlineStr">
        <is>
          <t>Subcontract</t>
        </is>
      </c>
      <c r="C14" s="41" t="inlineStr">
        <is>
          <t>Other subcontract: ______</t>
        </is>
      </c>
      <c r="D14" s="41" t="inlineStr">
        <is>
          <t>each</t>
        </is>
      </c>
      <c r="E14" s="40" t="n"/>
      <c r="F14" s="41" t="n"/>
      <c r="G14" s="41" t="n"/>
      <c r="H14" s="46">
        <f>IF($C14="",0,IF(AND($E14="",$F14="",$G14=""),0,IF(AND(ISNUMBER($E14),ISNUMBER(F14)),$E14*F14,NA())))</f>
        <v/>
      </c>
      <c r="I14" s="46">
        <f>IF($C14="",0,IF(AND($E14="",$F14="",$G14=""),0,IF(AND(ISNUMBER($E14),ISNUMBER(G14)),$E14*G14,NA())))</f>
        <v/>
      </c>
      <c r="J14" s="41" t="n"/>
    </row>
    <row r="15" ht="15" customHeight="1" s="26">
      <c r="A15" s="37" t="inlineStr">
        <is>
          <t>O14</t>
        </is>
      </c>
      <c r="B15" s="41" t="inlineStr">
        <is>
          <t>Insurance and bond</t>
        </is>
      </c>
      <c r="C15" s="41" t="inlineStr">
        <is>
          <t>Performance and payment bond</t>
        </is>
      </c>
      <c r="D15" s="41" t="inlineStr">
        <is>
          <t>LS</t>
        </is>
      </c>
      <c r="E15" s="40" t="n"/>
      <c r="F15" s="41" t="n"/>
      <c r="G15" s="41" t="n"/>
      <c r="H15" s="46">
        <f>IF($C15="",0,IF(AND($E15="",$F15="",$G15=""),0,IF(AND(ISNUMBER($E15),ISNUMBER(F15)),$E15*F15,NA())))</f>
        <v/>
      </c>
      <c r="I15" s="46">
        <f>IF($C15="",0,IF(AND($E15="",$F15="",$G15=""),0,IF(AND(ISNUMBER($E15),ISNUMBER(G15)),$E15*G15,NA())))</f>
        <v/>
      </c>
      <c r="J15" s="41" t="n"/>
    </row>
    <row r="16" ht="15" customHeight="1" s="26">
      <c r="A16" s="37" t="inlineStr">
        <is>
          <t>O15</t>
        </is>
      </c>
      <c r="B16" s="41" t="inlineStr">
        <is>
          <t>Insurance and bond</t>
        </is>
      </c>
      <c r="C16" s="41" t="inlineStr">
        <is>
          <t>Project-specific insurance</t>
        </is>
      </c>
      <c r="D16" s="41" t="inlineStr">
        <is>
          <t>LS</t>
        </is>
      </c>
      <c r="E16" s="40" t="n"/>
      <c r="F16" s="41" t="n"/>
      <c r="G16" s="41" t="n"/>
      <c r="H16" s="46">
        <f>IF($C16="",0,IF(AND($E16="",$F16="",$G16=""),0,IF(AND(ISNUMBER($E16),ISNUMBER(F16)),$E16*F16,NA())))</f>
        <v/>
      </c>
      <c r="I16" s="46">
        <f>IF($C16="",0,IF(AND($E16="",$F16="",$G16=""),0,IF(AND(ISNUMBER($E16),ISNUMBER(G16)),$E16*G16,NA())))</f>
        <v/>
      </c>
      <c r="J16" s="41" t="n"/>
    </row>
    <row r="17" ht="15" customHeight="1" s="26">
      <c r="A17" s="37" t="inlineStr">
        <is>
          <t>O16</t>
        </is>
      </c>
      <c r="B17" s="41" t="inlineStr">
        <is>
          <t>Other</t>
        </is>
      </c>
      <c r="C17" s="41" t="inlineStr">
        <is>
          <t>Contingency items: ______</t>
        </is>
      </c>
      <c r="D17" s="41" t="inlineStr">
        <is>
          <t>each</t>
        </is>
      </c>
      <c r="E17" s="40" t="n"/>
      <c r="F17" s="41" t="n"/>
      <c r="G17" s="41" t="n"/>
      <c r="H17" s="46">
        <f>IF($C17="",0,IF(AND($E17="",$F17="",$G17=""),0,IF(AND(ISNUMBER($E17),ISNUMBER(F17)),$E17*F17,NA())))</f>
        <v/>
      </c>
      <c r="I17" s="46">
        <f>IF($C17="",0,IF(AND($E17="",$F17="",$G17=""),0,IF(AND(ISNUMBER($E17),ISNUMBER(G17)),$E17*G17,NA())))</f>
        <v/>
      </c>
      <c r="J17" s="41" t="n"/>
    </row>
    <row r="18" ht="15" customHeight="1" s="26">
      <c r="A18" s="37" t="n"/>
      <c r="B18" s="41" t="n"/>
      <c r="C18" s="41" t="n"/>
      <c r="D18" s="41" t="n"/>
      <c r="E18" s="40" t="n"/>
      <c r="F18" s="41" t="n"/>
      <c r="G18" s="41" t="n"/>
      <c r="H18" s="46">
        <f>IF($C18="",0,IF(AND($E18="",$F18="",$G18=""),0,IF(AND(ISNUMBER($E18),ISNUMBER(F18)),$E18*F18,NA())))</f>
        <v/>
      </c>
      <c r="I18" s="46">
        <f>IF($C18="",0,IF(AND($E18="",$F18="",$G18=""),0,IF(AND(ISNUMBER($E18),ISNUMBER(G18)),$E18*G18,NA())))</f>
        <v/>
      </c>
      <c r="J18" s="41" t="n"/>
    </row>
    <row r="19" ht="15" customHeight="1" s="26">
      <c r="A19" s="37" t="n"/>
      <c r="B19" s="41" t="n"/>
      <c r="C19" s="41" t="n"/>
      <c r="D19" s="41" t="n"/>
      <c r="E19" s="40" t="n"/>
      <c r="F19" s="41" t="n"/>
      <c r="G19" s="41" t="n"/>
      <c r="H19" s="46">
        <f>IF($C19="",0,IF(AND($E19="",$F19="",$G19=""),0,IF(AND(ISNUMBER($E19),ISNUMBER(F19)),$E19*F19,NA())))</f>
        <v/>
      </c>
      <c r="I19" s="46">
        <f>IF($C19="",0,IF(AND($E19="",$F19="",$G19=""),0,IF(AND(ISNUMBER($E19),ISNUMBER(G19)),$E19*G19,NA())))</f>
        <v/>
      </c>
      <c r="J19" s="41" t="n"/>
    </row>
    <row r="20" ht="15" customHeight="1" s="26">
      <c r="A20" s="37" t="n"/>
      <c r="B20" s="41" t="n"/>
      <c r="C20" s="41" t="n"/>
      <c r="D20" s="41" t="n"/>
      <c r="E20" s="40" t="n"/>
      <c r="F20" s="41" t="n"/>
      <c r="G20" s="41" t="n"/>
      <c r="H20" s="46">
        <f>IF($C20="",0,IF(AND($E20="",$F20="",$G20=""),0,IF(AND(ISNUMBER($E20),ISNUMBER(F20)),$E20*F20,NA())))</f>
        <v/>
      </c>
      <c r="I20" s="46">
        <f>IF($C20="",0,IF(AND($E20="",$F20="",$G20=""),0,IF(AND(ISNUMBER($E20),ISNUMBER(G20)),$E20*G20,NA())))</f>
        <v/>
      </c>
      <c r="J20" s="41" t="n"/>
    </row>
    <row r="21" ht="15" customHeight="1" s="26">
      <c r="A21" s="37" t="n"/>
      <c r="B21" s="41" t="n"/>
      <c r="C21" s="41" t="n"/>
      <c r="D21" s="41" t="n"/>
      <c r="E21" s="40" t="n"/>
      <c r="F21" s="41" t="n"/>
      <c r="G21" s="41" t="n"/>
      <c r="H21" s="46">
        <f>IF($C21="",0,IF(AND($E21="",$F21="",$G21=""),0,IF(AND(ISNUMBER($E21),ISNUMBER(F21)),$E21*F21,NA())))</f>
        <v/>
      </c>
      <c r="I21" s="46">
        <f>IF($C21="",0,IF(AND($E21="",$F21="",$G21=""),0,IF(AND(ISNUMBER($E21),ISNUMBER(G21)),$E21*G21,NA())))</f>
        <v/>
      </c>
      <c r="J21" s="41" t="n"/>
    </row>
    <row r="22" ht="15" customHeight="1" s="26">
      <c r="A22" s="37" t="n"/>
      <c r="B22" s="41" t="n"/>
      <c r="C22" s="41" t="n"/>
      <c r="D22" s="41" t="n"/>
      <c r="E22" s="40" t="n"/>
      <c r="F22" s="41" t="n"/>
      <c r="G22" s="41" t="n"/>
      <c r="H22" s="46">
        <f>IF($C22="",0,IF(AND($E22="",$F22="",$G22=""),0,IF(AND(ISNUMBER($E22),ISNUMBER(F22)),$E22*F22,NA())))</f>
        <v/>
      </c>
      <c r="I22" s="46">
        <f>IF($C22="",0,IF(AND($E22="",$F22="",$G22=""),0,IF(AND(ISNUMBER($E22),ISNUMBER(G22)),$E22*G22,NA())))</f>
        <v/>
      </c>
      <c r="J22" s="41" t="n"/>
    </row>
    <row r="23" ht="15" customHeight="1" s="26">
      <c r="A23" s="37" t="n"/>
      <c r="B23" s="41" t="n"/>
      <c r="C23" s="41" t="n"/>
      <c r="D23" s="41" t="n"/>
      <c r="E23" s="40" t="n"/>
      <c r="F23" s="41" t="n"/>
      <c r="G23" s="41" t="n"/>
      <c r="H23" s="46">
        <f>IF($C23="",0,IF(AND($E23="",$F23="",$G23=""),0,IF(AND(ISNUMBER($E23),ISNUMBER(F23)),$E23*F23,NA())))</f>
        <v/>
      </c>
      <c r="I23" s="46">
        <f>IF($C23="",0,IF(AND($E23="",$F23="",$G23=""),0,IF(AND(ISNUMBER($E23),ISNUMBER(G23)),$E23*G23,NA())))</f>
        <v/>
      </c>
      <c r="J23" s="41" t="n"/>
    </row>
    <row r="24" ht="15" customHeight="1" s="26">
      <c r="A24" s="37" t="n"/>
      <c r="B24" s="41" t="n"/>
      <c r="C24" s="41" t="n"/>
      <c r="D24" s="41" t="n"/>
      <c r="E24" s="40" t="n"/>
      <c r="F24" s="41" t="n"/>
      <c r="G24" s="41" t="n"/>
      <c r="H24" s="46">
        <f>IF($C24="",0,IF(AND($E24="",$F24="",$G24=""),0,IF(AND(ISNUMBER($E24),ISNUMBER(F24)),$E24*F24,NA())))</f>
        <v/>
      </c>
      <c r="I24" s="46">
        <f>IF($C24="",0,IF(AND($E24="",$F24="",$G24=""),0,IF(AND(ISNUMBER($E24),ISNUMBER(G24)),$E24*G24,NA())))</f>
        <v/>
      </c>
      <c r="J24" s="41" t="n"/>
    </row>
    <row r="25" ht="15" customHeight="1" s="26">
      <c r="A25" s="37" t="n"/>
      <c r="B25" s="41" t="n"/>
      <c r="C25" s="41" t="n"/>
      <c r="D25" s="41" t="n"/>
      <c r="E25" s="40" t="n"/>
      <c r="F25" s="41" t="n"/>
      <c r="G25" s="41" t="n"/>
      <c r="H25" s="46">
        <f>IF($C25="",0,IF(AND($E25="",$F25="",$G25=""),0,IF(AND(ISNUMBER($E25),ISNUMBER(F25)),$E25*F25,NA())))</f>
        <v/>
      </c>
      <c r="I25" s="46">
        <f>IF($C25="",0,IF(AND($E25="",$F25="",$G25=""),0,IF(AND(ISNUMBER($E25),ISNUMBER(G25)),$E25*G25,NA())))</f>
        <v/>
      </c>
      <c r="J25" s="41" t="n"/>
    </row>
    <row r="26" ht="15" customHeight="1" s="26">
      <c r="A26" s="37" t="n"/>
      <c r="B26" s="41" t="n"/>
      <c r="C26" s="41" t="n"/>
      <c r="D26" s="41" t="n"/>
      <c r="E26" s="40" t="n"/>
      <c r="F26" s="41" t="n"/>
      <c r="G26" s="41" t="n"/>
      <c r="H26" s="46">
        <f>IF($C26="",0,IF(AND($E26="",$F26="",$G26=""),0,IF(AND(ISNUMBER($E26),ISNUMBER(F26)),$E26*F26,NA())))</f>
        <v/>
      </c>
      <c r="I26" s="46">
        <f>IF($C26="",0,IF(AND($E26="",$F26="",$G26=""),0,IF(AND(ISNUMBER($E26),ISNUMBER(G26)),$E26*G26,NA())))</f>
        <v/>
      </c>
      <c r="J26" s="41" t="n"/>
    </row>
    <row r="27" ht="15" customHeight="1" s="26">
      <c r="A27" s="37" t="n"/>
      <c r="B27" s="41" t="n"/>
      <c r="C27" s="41" t="n"/>
      <c r="D27" s="41" t="n"/>
      <c r="E27" s="40" t="n"/>
      <c r="F27" s="41" t="n"/>
      <c r="G27" s="41" t="n"/>
      <c r="H27" s="46">
        <f>IF($C27="",0,IF(AND($E27="",$F27="",$G27=""),0,IF(AND(ISNUMBER($E27),ISNUMBER(F27)),$E27*F27,NA())))</f>
        <v/>
      </c>
      <c r="I27" s="46">
        <f>IF($C27="",0,IF(AND($E27="",$F27="",$G27=""),0,IF(AND(ISNUMBER($E27),ISNUMBER(G27)),$E27*G27,NA())))</f>
        <v/>
      </c>
      <c r="J27" s="41" t="n"/>
    </row>
    <row r="28" ht="15" customHeight="1" s="26">
      <c r="A28" s="37" t="n"/>
      <c r="B28" s="41" t="n"/>
      <c r="C28" s="41" t="n"/>
      <c r="D28" s="41" t="n"/>
      <c r="E28" s="40" t="n"/>
      <c r="F28" s="41" t="n"/>
      <c r="G28" s="41" t="n"/>
      <c r="H28" s="46">
        <f>IF($C28="",0,IF(AND($E28="",$F28="",$G28=""),0,IF(AND(ISNUMBER($E28),ISNUMBER(F28)),$E28*F28,NA())))</f>
        <v/>
      </c>
      <c r="I28" s="46">
        <f>IF($C28="",0,IF(AND($E28="",$F28="",$G28=""),0,IF(AND(ISNUMBER($E28),ISNUMBER(G28)),$E28*G28,NA())))</f>
        <v/>
      </c>
      <c r="J28" s="41" t="n"/>
    </row>
    <row r="29" ht="15" customHeight="1" s="26">
      <c r="A29" s="37" t="n"/>
      <c r="B29" s="41" t="n"/>
      <c r="C29" s="41" t="n"/>
      <c r="D29" s="41" t="n"/>
      <c r="E29" s="40" t="n"/>
      <c r="F29" s="41" t="n"/>
      <c r="G29" s="41" t="n"/>
      <c r="H29" s="46">
        <f>IF($C29="",0,IF(AND($E29="",$F29="",$G29=""),0,IF(AND(ISNUMBER($E29),ISNUMBER(F29)),$E29*F29,NA())))</f>
        <v/>
      </c>
      <c r="I29" s="46">
        <f>IF($C29="",0,IF(AND($E29="",$F29="",$G29=""),0,IF(AND(ISNUMBER($E29),ISNUMBER(G29)),$E29*G29,NA())))</f>
        <v/>
      </c>
      <c r="J29" s="41" t="n"/>
    </row>
    <row r="30" ht="15" customHeight="1" s="26">
      <c r="A30" s="37" t="n"/>
      <c r="B30" s="41" t="n"/>
      <c r="C30" s="41" t="n"/>
      <c r="D30" s="41" t="n"/>
      <c r="E30" s="40" t="n"/>
      <c r="F30" s="41" t="n"/>
      <c r="G30" s="41" t="n"/>
      <c r="H30" s="46">
        <f>IF($C30="",0,IF(AND($E30="",$F30="",$G30=""),0,IF(AND(ISNUMBER($E30),ISNUMBER(F30)),$E30*F30,NA())))</f>
        <v/>
      </c>
      <c r="I30" s="46">
        <f>IF($C30="",0,IF(AND($E30="",$F30="",$G30=""),0,IF(AND(ISNUMBER($E30),ISNUMBER(G30)),$E30*G30,NA())))</f>
        <v/>
      </c>
      <c r="J30" s="41" t="n"/>
    </row>
    <row r="31" ht="15" customHeight="1" s="26">
      <c r="A31" s="37" t="n"/>
      <c r="B31" s="41" t="n"/>
      <c r="C31" s="41" t="n"/>
      <c r="D31" s="41" t="n"/>
      <c r="E31" s="40" t="n"/>
      <c r="F31" s="41" t="n"/>
      <c r="G31" s="41" t="n"/>
      <c r="H31" s="46">
        <f>IF($C31="",0,IF(AND($E31="",$F31="",$G31=""),0,IF(AND(ISNUMBER($E31),ISNUMBER(F31)),$E31*F31,NA())))</f>
        <v/>
      </c>
      <c r="I31" s="46">
        <f>IF($C31="",0,IF(AND($E31="",$F31="",$G31=""),0,IF(AND(ISNUMBER($E31),ISNUMBER(G31)),$E31*G31,NA())))</f>
        <v/>
      </c>
      <c r="J31" s="41" t="n"/>
    </row>
    <row r="32" ht="15" customHeight="1" s="26">
      <c r="A32" s="37" t="n"/>
      <c r="B32" s="41" t="n"/>
      <c r="C32" s="41" t="n"/>
      <c r="D32" s="41" t="n"/>
      <c r="E32" s="40" t="n"/>
      <c r="F32" s="41" t="n"/>
      <c r="G32" s="41" t="n"/>
      <c r="H32" s="46">
        <f>IF($C32="",0,IF(AND($E32="",$F32="",$G32=""),0,IF(AND(ISNUMBER($E32),ISNUMBER(F32)),$E32*F32,NA())))</f>
        <v/>
      </c>
      <c r="I32" s="46">
        <f>IF($C32="",0,IF(AND($E32="",$F32="",$G32=""),0,IF(AND(ISNUMBER($E32),ISNUMBER(G32)),$E32*G32,NA())))</f>
        <v/>
      </c>
      <c r="J32" s="41" t="n"/>
    </row>
    <row r="33" ht="15" customHeight="1" s="26">
      <c r="A33" s="37" t="n"/>
      <c r="B33" s="41" t="n"/>
      <c r="C33" s="41" t="n"/>
      <c r="D33" s="41" t="n"/>
      <c r="E33" s="40" t="n"/>
      <c r="F33" s="41" t="n"/>
      <c r="G33" s="41" t="n"/>
      <c r="H33" s="46">
        <f>IF($C33="",0,IF(AND($E33="",$F33="",$G33=""),0,IF(AND(ISNUMBER($E33),ISNUMBER(F33)),$E33*F33,NA())))</f>
        <v/>
      </c>
      <c r="I33" s="46">
        <f>IF($C33="",0,IF(AND($E33="",$F33="",$G33=""),0,IF(AND(ISNUMBER($E33),ISNUMBER(G33)),$E33*G33,NA())))</f>
        <v/>
      </c>
      <c r="J33" s="41" t="n"/>
    </row>
    <row r="34" ht="15" customHeight="1" s="26">
      <c r="A34" s="37" t="n"/>
      <c r="B34" s="41" t="n"/>
      <c r="C34" s="41" t="n"/>
      <c r="D34" s="41" t="n"/>
      <c r="E34" s="40" t="n"/>
      <c r="F34" s="41" t="n"/>
      <c r="G34" s="41" t="n"/>
      <c r="H34" s="46">
        <f>IF($C34="",0,IF(AND($E34="",$F34="",$G34=""),0,IF(AND(ISNUMBER($E34),ISNUMBER(F34)),$E34*F34,NA())))</f>
        <v/>
      </c>
      <c r="I34" s="46">
        <f>IF($C34="",0,IF(AND($E34="",$F34="",$G34=""),0,IF(AND(ISNUMBER($E34),ISNUMBER(G34)),$E34*G34,NA())))</f>
        <v/>
      </c>
      <c r="J34" s="41" t="n"/>
    </row>
    <row r="35" ht="15" customHeight="1" s="26">
      <c r="A35" s="37" t="n"/>
      <c r="B35" s="41" t="n"/>
      <c r="C35" s="41" t="n"/>
      <c r="D35" s="41" t="n"/>
      <c r="E35" s="40" t="n"/>
      <c r="F35" s="41" t="n"/>
      <c r="G35" s="41" t="n"/>
      <c r="H35" s="46">
        <f>IF($C35="",0,IF(AND($E35="",$F35="",$G35=""),0,IF(AND(ISNUMBER($E35),ISNUMBER(F35)),$E35*F35,NA())))</f>
        <v/>
      </c>
      <c r="I35" s="46">
        <f>IF($C35="",0,IF(AND($E35="",$F35="",$G35=""),0,IF(AND(ISNUMBER($E35),ISNUMBER(G35)),$E35*G35,NA())))</f>
        <v/>
      </c>
      <c r="J35" s="41" t="n"/>
    </row>
    <row r="36" ht="15" customHeight="1" s="26">
      <c r="A36" s="37" t="n"/>
      <c r="B36" s="41" t="n"/>
      <c r="C36" s="41" t="n"/>
      <c r="D36" s="41" t="n"/>
      <c r="E36" s="40" t="n"/>
      <c r="F36" s="41" t="n"/>
      <c r="G36" s="41" t="n"/>
      <c r="H36" s="46">
        <f>IF($C36="",0,IF(AND($E36="",$F36="",$G36=""),0,IF(AND(ISNUMBER($E36),ISNUMBER(F36)),$E36*F36,NA())))</f>
        <v/>
      </c>
      <c r="I36" s="46">
        <f>IF($C36="",0,IF(AND($E36="",$F36="",$G36=""),0,IF(AND(ISNUMBER($E36),ISNUMBER(G36)),$E36*G36,NA())))</f>
        <v/>
      </c>
      <c r="J36" s="41" t="n"/>
    </row>
    <row r="37" ht="15" customHeight="1" s="26">
      <c r="A37" s="37" t="n"/>
      <c r="B37" s="41" t="n"/>
      <c r="C37" s="41" t="n"/>
      <c r="D37" s="41" t="n"/>
      <c r="E37" s="40" t="n"/>
      <c r="F37" s="41" t="n"/>
      <c r="G37" s="41" t="n"/>
      <c r="H37" s="46">
        <f>IF($C37="",0,IF(AND($E37="",$F37="",$G37=""),0,IF(AND(ISNUMBER($E37),ISNUMBER(F37)),$E37*F37,NA())))</f>
        <v/>
      </c>
      <c r="I37" s="46">
        <f>IF($C37="",0,IF(AND($E37="",$F37="",$G37=""),0,IF(AND(ISNUMBER($E37),ISNUMBER(G37)),$E37*G37,NA())))</f>
        <v/>
      </c>
      <c r="J37" s="41" t="n"/>
    </row>
    <row r="38" ht="15" customHeight="1" s="26">
      <c r="A38" s="37" t="n"/>
      <c r="B38" s="41" t="n"/>
      <c r="C38" s="41" t="n"/>
      <c r="D38" s="41" t="n"/>
      <c r="E38" s="40" t="n"/>
      <c r="F38" s="41" t="n"/>
      <c r="G38" s="41" t="n"/>
      <c r="H38" s="46">
        <f>IF($C38="",0,IF(AND($E38="",$F38="",$G38=""),0,IF(AND(ISNUMBER($E38),ISNUMBER(F38)),$E38*F38,NA())))</f>
        <v/>
      </c>
      <c r="I38" s="46">
        <f>IF($C38="",0,IF(AND($E38="",$F38="",$G38=""),0,IF(AND(ISNUMBER($E38),ISNUMBER(G38)),$E38*G38,NA())))</f>
        <v/>
      </c>
      <c r="J38" s="41" t="n"/>
    </row>
    <row r="39" ht="15" customHeight="1" s="26">
      <c r="A39" s="37" t="n"/>
      <c r="B39" s="41" t="n"/>
      <c r="C39" s="41" t="n"/>
      <c r="D39" s="41" t="n"/>
      <c r="E39" s="40" t="n"/>
      <c r="F39" s="41" t="n"/>
      <c r="G39" s="41" t="n"/>
      <c r="H39" s="46">
        <f>IF($C39="",0,IF(AND($E39="",$F39="",$G39=""),0,IF(AND(ISNUMBER($E39),ISNUMBER(F39)),$E39*F39,NA())))</f>
        <v/>
      </c>
      <c r="I39" s="46">
        <f>IF($C39="",0,IF(AND($E39="",$F39="",$G39=""),0,IF(AND(ISNUMBER($E39),ISNUMBER(G39)),$E39*G39,NA())))</f>
        <v/>
      </c>
      <c r="J39" s="41" t="n"/>
    </row>
    <row r="40" ht="15" customHeight="1" s="26">
      <c r="A40" s="37" t="n"/>
      <c r="B40" s="41" t="n"/>
      <c r="C40" s="41" t="n"/>
      <c r="D40" s="41" t="n"/>
      <c r="E40" s="40" t="n"/>
      <c r="F40" s="41" t="n"/>
      <c r="G40" s="41" t="n"/>
      <c r="H40" s="46">
        <f>IF($C40="",0,IF(AND($E40="",$F40="",$G40=""),0,IF(AND(ISNUMBER($E40),ISNUMBER(F40)),$E40*F40,NA())))</f>
        <v/>
      </c>
      <c r="I40" s="46">
        <f>IF($C40="",0,IF(AND($E40="",$F40="",$G40=""),0,IF(AND(ISNUMBER($E40),ISNUMBER(G40)),$E40*G40,NA())))</f>
        <v/>
      </c>
      <c r="J40" s="41" t="n"/>
    </row>
    <row r="41" ht="15" customHeight="1" s="26">
      <c r="A41" s="37" t="n"/>
      <c r="B41" s="41" t="n"/>
      <c r="C41" s="41" t="n"/>
      <c r="D41" s="41" t="n"/>
      <c r="E41" s="40" t="n"/>
      <c r="F41" s="41" t="n"/>
      <c r="G41" s="41" t="n"/>
      <c r="H41" s="46">
        <f>IF($C41="",0,IF(AND($E41="",$F41="",$G41=""),0,IF(AND(ISNUMBER($E41),ISNUMBER(F41)),$E41*F41,NA())))</f>
        <v/>
      </c>
      <c r="I41" s="46">
        <f>IF($C41="",0,IF(AND($E41="",$F41="",$G41=""),0,IF(AND(ISNUMBER($E41),ISNUMBER(G41)),$E41*G41,NA())))</f>
        <v/>
      </c>
      <c r="J41" s="41" t="n"/>
    </row>
    <row r="42" ht="15" customHeight="1" s="26">
      <c r="A42" s="37" t="n"/>
      <c r="B42" s="41" t="n"/>
      <c r="C42" s="41" t="n"/>
      <c r="D42" s="41" t="n"/>
      <c r="E42" s="40" t="n"/>
      <c r="F42" s="41" t="n"/>
      <c r="G42" s="41" t="n"/>
      <c r="H42" s="46">
        <f>IF($C42="",0,IF(AND($E42="",$F42="",$G42=""),0,IF(AND(ISNUMBER($E42),ISNUMBER(F42)),$E42*F42,NA())))</f>
        <v/>
      </c>
      <c r="I42" s="46">
        <f>IF($C42="",0,IF(AND($E42="",$F42="",$G42=""),0,IF(AND(ISNUMBER($E42),ISNUMBER(G42)),$E42*G42,NA())))</f>
        <v/>
      </c>
      <c r="J42" s="41" t="n"/>
    </row>
    <row r="43" ht="15" customHeight="1" s="26">
      <c r="A43" s="37" t="n"/>
      <c r="B43" s="41" t="n"/>
      <c r="C43" s="41" t="n"/>
      <c r="D43" s="41" t="n"/>
      <c r="E43" s="40" t="n"/>
      <c r="F43" s="41" t="n"/>
      <c r="G43" s="41" t="n"/>
      <c r="H43" s="46">
        <f>IF($C43="",0,IF(AND($E43="",$F43="",$G43=""),0,IF(AND(ISNUMBER($E43),ISNUMBER(F43)),$E43*F43,NA())))</f>
        <v/>
      </c>
      <c r="I43" s="46">
        <f>IF($C43="",0,IF(AND($E43="",$F43="",$G43=""),0,IF(AND(ISNUMBER($E43),ISNUMBER(G43)),$E43*G43,NA())))</f>
        <v/>
      </c>
      <c r="J43" s="41" t="n"/>
    </row>
    <row r="44" ht="15" customHeight="1" s="26">
      <c r="A44" s="37" t="n"/>
      <c r="B44" s="41" t="n"/>
      <c r="C44" s="41" t="n"/>
      <c r="D44" s="41" t="n"/>
      <c r="E44" s="40" t="n"/>
      <c r="F44" s="41" t="n"/>
      <c r="G44" s="41" t="n"/>
      <c r="H44" s="46">
        <f>IF($C44="",0,IF(AND($E44="",$F44="",$G44=""),0,IF(AND(ISNUMBER($E44),ISNUMBER(F44)),$E44*F44,NA())))</f>
        <v/>
      </c>
      <c r="I44" s="46">
        <f>IF($C44="",0,IF(AND($E44="",$F44="",$G44=""),0,IF(AND(ISNUMBER($E44),ISNUMBER(G44)),$E44*G44,NA())))</f>
        <v/>
      </c>
      <c r="J44" s="41" t="n"/>
    </row>
    <row r="45" ht="15" customHeight="1" s="26">
      <c r="A45" s="37" t="n"/>
      <c r="B45" s="41" t="n"/>
      <c r="C45" s="41" t="n"/>
      <c r="D45" s="41" t="n"/>
      <c r="E45" s="40" t="n"/>
      <c r="F45" s="41" t="n"/>
      <c r="G45" s="41" t="n"/>
      <c r="H45" s="46">
        <f>IF($C45="",0,IF(AND($E45="",$F45="",$G45=""),0,IF(AND(ISNUMBER($E45),ISNUMBER(F45)),$E45*F45,NA())))</f>
        <v/>
      </c>
      <c r="I45" s="46">
        <f>IF($C45="",0,IF(AND($E45="",$F45="",$G45=""),0,IF(AND(ISNUMBER($E45),ISNUMBER(G45)),$E45*G45,NA())))</f>
        <v/>
      </c>
      <c r="J45" s="41" t="n"/>
    </row>
    <row r="46" ht="15" customHeight="1" s="26">
      <c r="A46" s="37" t="n"/>
      <c r="B46" s="41" t="n"/>
      <c r="C46" s="41" t="n"/>
      <c r="D46" s="41" t="n"/>
      <c r="E46" s="40" t="n"/>
      <c r="F46" s="41" t="n"/>
      <c r="G46" s="41" t="n"/>
      <c r="H46" s="46">
        <f>IF($C46="",0,IF(AND($E46="",$F46="",$G46=""),0,IF(AND(ISNUMBER($E46),ISNUMBER(F46)),$E46*F46,NA())))</f>
        <v/>
      </c>
      <c r="I46" s="46">
        <f>IF($C46="",0,IF(AND($E46="",$F46="",$G46=""),0,IF(AND(ISNUMBER($E46),ISNUMBER(G46)),$E46*G46,NA())))</f>
        <v/>
      </c>
      <c r="J46" s="41" t="n"/>
    </row>
    <row r="47" ht="15" customHeight="1" s="26">
      <c r="A47" s="37" t="n"/>
      <c r="B47" s="41" t="n"/>
      <c r="C47" s="41" t="n"/>
      <c r="D47" s="41" t="n"/>
      <c r="E47" s="40" t="n"/>
      <c r="F47" s="41" t="n"/>
      <c r="G47" s="41" t="n"/>
      <c r="H47" s="46">
        <f>IF($C47="",0,IF(AND($E47="",$F47="",$G47=""),0,IF(AND(ISNUMBER($E47),ISNUMBER(F47)),$E47*F47,NA())))</f>
        <v/>
      </c>
      <c r="I47" s="46">
        <f>IF($C47="",0,IF(AND($E47="",$F47="",$G47=""),0,IF(AND(ISNUMBER($E47),ISNUMBER(G47)),$E47*G47,NA())))</f>
        <v/>
      </c>
      <c r="J47" s="41" t="n"/>
    </row>
    <row r="48" ht="15" customHeight="1" s="26">
      <c r="A48" s="37" t="n"/>
      <c r="B48" s="41" t="n"/>
      <c r="C48" s="41" t="n"/>
      <c r="D48" s="41" t="n"/>
      <c r="E48" s="40" t="n"/>
      <c r="F48" s="41" t="n"/>
      <c r="G48" s="41" t="n"/>
      <c r="H48" s="46">
        <f>IF($C48="",0,IF(AND($E48="",$F48="",$G48=""),0,IF(AND(ISNUMBER($E48),ISNUMBER(F48)),$E48*F48,NA())))</f>
        <v/>
      </c>
      <c r="I48" s="46">
        <f>IF($C48="",0,IF(AND($E48="",$F48="",$G48=""),0,IF(AND(ISNUMBER($E48),ISNUMBER(G48)),$E48*G48,NA())))</f>
        <v/>
      </c>
      <c r="J48" s="41" t="n"/>
    </row>
    <row r="49" ht="15" customHeight="1" s="26">
      <c r="A49" s="37" t="n"/>
      <c r="B49" s="41" t="n"/>
      <c r="C49" s="41" t="n"/>
      <c r="D49" s="41" t="n"/>
      <c r="E49" s="40" t="n"/>
      <c r="F49" s="41" t="n"/>
      <c r="G49" s="41" t="n"/>
      <c r="H49" s="46">
        <f>IF($C49="",0,IF(AND($E49="",$F49="",$G49=""),0,IF(AND(ISNUMBER($E49),ISNUMBER(F49)),$E49*F49,NA())))</f>
        <v/>
      </c>
      <c r="I49" s="46">
        <f>IF($C49="",0,IF(AND($E49="",$F49="",$G49=""),0,IF(AND(ISNUMBER($E49),ISNUMBER(G49)),$E49*G49,NA())))</f>
        <v/>
      </c>
      <c r="J49" s="41" t="n"/>
    </row>
    <row r="50" ht="15" customHeight="1" s="26">
      <c r="A50" s="37" t="n"/>
      <c r="B50" s="41" t="n"/>
      <c r="C50" s="41" t="n"/>
      <c r="D50" s="41" t="n"/>
      <c r="E50" s="40" t="n"/>
      <c r="F50" s="41" t="n"/>
      <c r="G50" s="41" t="n"/>
      <c r="H50" s="46">
        <f>IF($C50="",0,IF(AND($E50="",$F50="",$G50=""),0,IF(AND(ISNUMBER($E50),ISNUMBER(F50)),$E50*F50,NA())))</f>
        <v/>
      </c>
      <c r="I50" s="46">
        <f>IF($C50="",0,IF(AND($E50="",$F50="",$G50=""),0,IF(AND(ISNUMBER($E50),ISNUMBER(G50)),$E50*G50,NA())))</f>
        <v/>
      </c>
      <c r="J50" s="41" t="n"/>
    </row>
    <row r="51" ht="15" customHeight="1" s="26">
      <c r="A51" s="37" t="n"/>
      <c r="B51" s="41" t="n"/>
      <c r="C51" s="41" t="n"/>
      <c r="D51" s="41" t="n"/>
      <c r="E51" s="40" t="n"/>
      <c r="F51" s="41" t="n"/>
      <c r="G51" s="41" t="n"/>
      <c r="H51" s="46">
        <f>IF($C51="",0,IF(AND($E51="",$F51="",$G51=""),0,IF(AND(ISNUMBER($E51),ISNUMBER(F51)),$E51*F51,NA())))</f>
        <v/>
      </c>
      <c r="I51" s="46">
        <f>IF($C51="",0,IF(AND($E51="",$F51="",$G51=""),0,IF(AND(ISNUMBER($E51),ISNUMBER(G51)),$E51*G51,NA())))</f>
        <v/>
      </c>
      <c r="J51" s="41" t="n"/>
    </row>
    <row r="52" ht="15" customHeight="1" s="26">
      <c r="A52" s="37" t="n"/>
      <c r="B52" s="41" t="n"/>
      <c r="C52" s="41" t="n"/>
      <c r="D52" s="41" t="n"/>
      <c r="E52" s="40" t="n"/>
      <c r="F52" s="41" t="n"/>
      <c r="G52" s="41" t="n"/>
      <c r="H52" s="46">
        <f>IF($C52="",0,IF(AND($E52="",$F52="",$G52=""),0,IF(AND(ISNUMBER($E52),ISNUMBER(F52)),$E52*F52,NA())))</f>
        <v/>
      </c>
      <c r="I52" s="46">
        <f>IF($C52="",0,IF(AND($E52="",$F52="",$G52=""),0,IF(AND(ISNUMBER($E52),ISNUMBER(G52)),$E52*G52,NA())))</f>
        <v/>
      </c>
      <c r="J52" s="41" t="n"/>
    </row>
    <row r="53" ht="15" customHeight="1" s="26">
      <c r="A53" s="37" t="n"/>
      <c r="B53" s="41" t="n"/>
      <c r="C53" s="41" t="n"/>
      <c r="D53" s="41" t="n"/>
      <c r="E53" s="40" t="n"/>
      <c r="F53" s="41" t="n"/>
      <c r="G53" s="41" t="n"/>
      <c r="H53" s="46">
        <f>IF($C53="",0,IF(AND($E53="",$F53="",$G53=""),0,IF(AND(ISNUMBER($E53),ISNUMBER(F53)),$E53*F53,NA())))</f>
        <v/>
      </c>
      <c r="I53" s="46">
        <f>IF($C53="",0,IF(AND($E53="",$F53="",$G53=""),0,IF(AND(ISNUMBER($E53),ISNUMBER(G53)),$E53*G53,NA())))</f>
        <v/>
      </c>
      <c r="J53" s="41" t="n"/>
    </row>
    <row r="54" ht="15" customHeight="1" s="26">
      <c r="A54" s="37" t="n"/>
      <c r="B54" s="41" t="n"/>
      <c r="C54" s="41" t="n"/>
      <c r="D54" s="41" t="n"/>
      <c r="E54" s="40" t="n"/>
      <c r="F54" s="41" t="n"/>
      <c r="G54" s="41" t="n"/>
      <c r="H54" s="46">
        <f>IF($C54="",0,IF(AND($E54="",$F54="",$G54=""),0,IF(AND(ISNUMBER($E54),ISNUMBER(F54)),$E54*F54,NA())))</f>
        <v/>
      </c>
      <c r="I54" s="46">
        <f>IF($C54="",0,IF(AND($E54="",$F54="",$G54=""),0,IF(AND(ISNUMBER($E54),ISNUMBER(G54)),$E54*G54,NA())))</f>
        <v/>
      </c>
      <c r="J54" s="41" t="n"/>
    </row>
    <row r="55" ht="15" customHeight="1" s="26">
      <c r="A55" s="37" t="n"/>
      <c r="B55" s="41" t="n"/>
      <c r="C55" s="41" t="n"/>
      <c r="D55" s="41" t="n"/>
      <c r="E55" s="40" t="n"/>
      <c r="F55" s="41" t="n"/>
      <c r="G55" s="41" t="n"/>
      <c r="H55" s="46">
        <f>IF($C55="",0,IF(AND($E55="",$F55="",$G55=""),0,IF(AND(ISNUMBER($E55),ISNUMBER(F55)),$E55*F55,NA())))</f>
        <v/>
      </c>
      <c r="I55" s="46">
        <f>IF($C55="",0,IF(AND($E55="",$F55="",$G55=""),0,IF(AND(ISNUMBER($E55),ISNUMBER(G55)),$E55*G55,NA())))</f>
        <v/>
      </c>
      <c r="J55" s="41" t="n"/>
    </row>
    <row r="56" ht="15" customHeight="1" s="26">
      <c r="A56" s="37" t="n"/>
      <c r="B56" s="41" t="n"/>
      <c r="C56" s="41" t="n"/>
      <c r="D56" s="41" t="n"/>
      <c r="E56" s="40" t="n"/>
      <c r="F56" s="41" t="n"/>
      <c r="G56" s="41" t="n"/>
      <c r="H56" s="46">
        <f>IF($C56="",0,IF(AND($E56="",$F56="",$G56=""),0,IF(AND(ISNUMBER($E56),ISNUMBER(F56)),$E56*F56,NA())))</f>
        <v/>
      </c>
      <c r="I56" s="46">
        <f>IF($C56="",0,IF(AND($E56="",$F56="",$G56=""),0,IF(AND(ISNUMBER($E56),ISNUMBER(G56)),$E56*G56,NA())))</f>
        <v/>
      </c>
      <c r="J56" s="41" t="n"/>
    </row>
    <row r="57" ht="15" customHeight="1" s="26">
      <c r="A57" s="37" t="n"/>
      <c r="B57" s="41" t="n"/>
      <c r="C57" s="41" t="n"/>
      <c r="D57" s="41" t="n"/>
      <c r="E57" s="40" t="n"/>
      <c r="F57" s="41" t="n"/>
      <c r="G57" s="41" t="n"/>
      <c r="H57" s="46">
        <f>IF($C57="",0,IF(AND($E57="",$F57="",$G57=""),0,IF(AND(ISNUMBER($E57),ISNUMBER(F57)),$E57*F57,NA())))</f>
        <v/>
      </c>
      <c r="I57" s="46">
        <f>IF($C57="",0,IF(AND($E57="",$F57="",$G57=""),0,IF(AND(ISNUMBER($E57),ISNUMBER(G57)),$E57*G57,NA())))</f>
        <v/>
      </c>
      <c r="J57" s="41" t="n"/>
    </row>
    <row r="58" ht="15" customHeight="1" s="26">
      <c r="A58" s="37" t="n"/>
      <c r="B58" s="41" t="n"/>
      <c r="C58" s="41" t="n"/>
      <c r="D58" s="41" t="n"/>
      <c r="E58" s="40" t="n"/>
      <c r="F58" s="41" t="n"/>
      <c r="G58" s="41" t="n"/>
      <c r="H58" s="46">
        <f>IF($C58="",0,IF(AND($E58="",$F58="",$G58=""),0,IF(AND(ISNUMBER($E58),ISNUMBER(F58)),$E58*F58,NA())))</f>
        <v/>
      </c>
      <c r="I58" s="46">
        <f>IF($C58="",0,IF(AND($E58="",$F58="",$G58=""),0,IF(AND(ISNUMBER($E58),ISNUMBER(G58)),$E58*G58,NA())))</f>
        <v/>
      </c>
      <c r="J58" s="41" t="n"/>
    </row>
    <row r="59" ht="15" customHeight="1" s="26">
      <c r="A59" s="37" t="n"/>
      <c r="B59" s="41" t="n"/>
      <c r="C59" s="41" t="n"/>
      <c r="D59" s="41" t="n"/>
      <c r="E59" s="40" t="n"/>
      <c r="F59" s="41" t="n"/>
      <c r="G59" s="41" t="n"/>
      <c r="H59" s="46">
        <f>IF($C59="",0,IF(AND($E59="",$F59="",$G59=""),0,IF(AND(ISNUMBER($E59),ISNUMBER(F59)),$E59*F59,NA())))</f>
        <v/>
      </c>
      <c r="I59" s="46">
        <f>IF($C59="",0,IF(AND($E59="",$F59="",$G59=""),0,IF(AND(ISNUMBER($E59),ISNUMBER(G59)),$E59*G59,NA())))</f>
        <v/>
      </c>
      <c r="J59" s="41" t="n"/>
    </row>
    <row r="60" ht="15" customHeight="1" s="26">
      <c r="A60" s="37" t="n"/>
      <c r="B60" s="41" t="n"/>
      <c r="C60" s="41" t="n"/>
      <c r="D60" s="41" t="n"/>
      <c r="E60" s="40" t="n"/>
      <c r="F60" s="41" t="n"/>
      <c r="G60" s="41" t="n"/>
      <c r="H60" s="46">
        <f>IF($C60="",0,IF(AND($E60="",$F60="",$G60=""),0,IF(AND(ISNUMBER($E60),ISNUMBER(F60)),$E60*F60,NA())))</f>
        <v/>
      </c>
      <c r="I60" s="46">
        <f>IF($C60="",0,IF(AND($E60="",$F60="",$G60=""),0,IF(AND(ISNUMBER($E60),ISNUMBER(G60)),$E60*G60,NA())))</f>
        <v/>
      </c>
      <c r="J60" s="4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56" customWidth="1" style="26" min="2" max="2"/>
  </cols>
  <sheetData>
    <row r="1">
      <c r="A1" s="36" t="inlineStr">
        <is>
          <t>service_id</t>
        </is>
      </c>
      <c r="B1" s="36" t="inlineStr">
        <is>
          <t>service</t>
        </is>
      </c>
      <c r="C1" s="36" t="inlineStr">
        <is>
          <t>uom</t>
        </is>
      </c>
      <c r="D1" s="36" t="inlineStr">
        <is>
          <t>unit_cost</t>
        </is>
      </c>
      <c r="E1" s="36" t="inlineStr">
        <is>
          <t>vendor</t>
        </is>
      </c>
      <c r="F1" s="36" t="inlineStr">
        <is>
          <t>price_date</t>
        </is>
      </c>
      <c r="G1" s="36" t="inlineStr">
        <is>
          <t>source_url_or_sku</t>
        </is>
      </c>
      <c r="H1" s="36" t="inlineStr">
        <is>
          <t>qty_base</t>
        </is>
      </c>
      <c r="I1" s="36" t="inlineStr">
        <is>
          <t>qty_alt</t>
        </is>
      </c>
      <c r="J1" s="36" t="inlineStr">
        <is>
          <t>ext_base</t>
        </is>
      </c>
      <c r="K1" s="36" t="inlineStr">
        <is>
          <t>ext_alt</t>
        </is>
      </c>
      <c r="L1" s="36" t="inlineStr">
        <is>
          <t>notes</t>
        </is>
      </c>
    </row>
    <row r="2">
      <c r="A2" s="40" t="inlineStr">
        <is>
          <t>S01</t>
        </is>
      </c>
      <c r="B2" s="40" t="inlineStr">
        <is>
          <t>Core drilling through pavement and base, per footing hole</t>
        </is>
      </c>
      <c r="C2" s="40" t="inlineStr">
        <is>
          <t>EA</t>
        </is>
      </c>
      <c r="D2" s="40" t="n">
        <v>42</v>
      </c>
      <c r="E2" s="40" t="inlineStr">
        <is>
          <t>Reference estimate</t>
        </is>
      </c>
      <c r="F2" s="50" t="n">
        <v>46307</v>
      </c>
      <c r="G2" s="40" t="inlineStr">
        <is>
          <t>reference estimate</t>
        </is>
      </c>
      <c r="H2" s="25">
        <f>IF($A2="","",IF(INDEX(Takeoff_In!$D$2:$D$300,MATCH($A2,Takeoff_In!$A$2:$A$300,0))="",NA(),INDEX(Takeoff_In!$D$2:$D$300,MATCH($A2,Takeoff_In!$A$2:$A$300,0))))</f>
        <v/>
      </c>
      <c r="I2" s="25">
        <f>IF($A2="","",IF(INDEX(Takeoff_In!$E$2:$E$300,MATCH($A2,Takeoff_In!$A$2:$A$300,0))="",NA(),INDEX(Takeoff_In!$E$2:$E$300,MATCH($A2,Takeoff_In!$A$2:$A$300,0))))</f>
        <v/>
      </c>
      <c r="J2" s="25">
        <f>IF($A2="","",IF(ISNUMBER($D2),H2*$D2,NA()))</f>
        <v/>
      </c>
      <c r="K2" s="25">
        <f>IF($A2="","",IF(ISNUMBER($D2),I2*$D2,NA()))</f>
        <v/>
      </c>
      <c r="L2" s="40" t="inlineStr">
        <is>
          <t>Subcontracted service. Not a material: no sales tax is applied to it.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25">
        <f>IF($A3="","",IF(INDEX(Takeoff_In!$D$2:$D$300,MATCH($A3,Takeoff_In!$A$2:$A$300,0))="",NA(),INDEX(Takeoff_In!$D$2:$D$300,MATCH($A3,Takeoff_In!$A$2:$A$300,0))))</f>
        <v/>
      </c>
      <c r="I3" s="25">
        <f>IF($A3="","",IF(INDEX(Takeoff_In!$E$2:$E$300,MATCH($A3,Takeoff_In!$A$2:$A$300,0))="",NA(),INDEX(Takeoff_In!$E$2:$E$300,MATCH($A3,Takeoff_In!$A$2:$A$300,0))))</f>
        <v/>
      </c>
      <c r="J3" s="25">
        <f>IF($A3="","",IF(ISNUMBER($D3),H3*$D3,NA()))</f>
        <v/>
      </c>
      <c r="K3" s="25">
        <f>IF($A3="","",IF(ISNUMBER($D3),I3*$D3,NA()))</f>
        <v/>
      </c>
      <c r="L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25">
        <f>IF($A4="","",IF(INDEX(Takeoff_In!$D$2:$D$300,MATCH($A4,Takeoff_In!$A$2:$A$300,0))="",NA(),INDEX(Takeoff_In!$D$2:$D$300,MATCH($A4,Takeoff_In!$A$2:$A$300,0))))</f>
        <v/>
      </c>
      <c r="I4" s="25">
        <f>IF($A4="","",IF(INDEX(Takeoff_In!$E$2:$E$300,MATCH($A4,Takeoff_In!$A$2:$A$300,0))="",NA(),INDEX(Takeoff_In!$E$2:$E$300,MATCH($A4,Takeoff_In!$A$2:$A$300,0))))</f>
        <v/>
      </c>
      <c r="J4" s="25">
        <f>IF($A4="","",IF(ISNUMBER($D4),H4*$D4,NA()))</f>
        <v/>
      </c>
      <c r="K4" s="25">
        <f>IF($A4="","",IF(ISNUMBER($D4),I4*$D4,NA()))</f>
        <v/>
      </c>
      <c r="L4" s="40" t="n"/>
    </row>
    <row r="5">
      <c r="A5" s="40" t="n"/>
      <c r="B5" s="40" t="n"/>
      <c r="C5" s="40" t="n"/>
      <c r="D5" s="40" t="n"/>
      <c r="E5" s="40" t="n"/>
      <c r="F5" s="40" t="n"/>
      <c r="G5" s="40" t="n"/>
      <c r="H5" s="25">
        <f>IF($A5="","",IF(INDEX(Takeoff_In!$D$2:$D$300,MATCH($A5,Takeoff_In!$A$2:$A$300,0))="",NA(),INDEX(Takeoff_In!$D$2:$D$300,MATCH($A5,Takeoff_In!$A$2:$A$300,0))))</f>
        <v/>
      </c>
      <c r="I5" s="25">
        <f>IF($A5="","",IF(INDEX(Takeoff_In!$E$2:$E$300,MATCH($A5,Takeoff_In!$A$2:$A$300,0))="",NA(),INDEX(Takeoff_In!$E$2:$E$300,MATCH($A5,Takeoff_In!$A$2:$A$300,0))))</f>
        <v/>
      </c>
      <c r="J5" s="25">
        <f>IF($A5="","",IF(ISNUMBER($D5),H5*$D5,NA()))</f>
        <v/>
      </c>
      <c r="K5" s="25">
        <f>IF($A5="","",IF(ISNUMBER($D5),I5*$D5,NA()))</f>
        <v/>
      </c>
      <c r="L5" s="40" t="n"/>
    </row>
    <row r="6">
      <c r="A6" s="40" t="n"/>
      <c r="B6" s="40" t="n"/>
      <c r="C6" s="40" t="n"/>
      <c r="D6" s="40" t="n"/>
      <c r="E6" s="40" t="n"/>
      <c r="F6" s="40" t="n"/>
      <c r="G6" s="40" t="n"/>
      <c r="H6" s="25">
        <f>IF($A6="","",IF(INDEX(Takeoff_In!$D$2:$D$300,MATCH($A6,Takeoff_In!$A$2:$A$300,0))="",NA(),INDEX(Takeoff_In!$D$2:$D$300,MATCH($A6,Takeoff_In!$A$2:$A$300,0))))</f>
        <v/>
      </c>
      <c r="I6" s="25">
        <f>IF($A6="","",IF(INDEX(Takeoff_In!$E$2:$E$300,MATCH($A6,Takeoff_In!$A$2:$A$300,0))="",NA(),INDEX(Takeoff_In!$E$2:$E$300,MATCH($A6,Takeoff_In!$A$2:$A$300,0))))</f>
        <v/>
      </c>
      <c r="J6" s="25">
        <f>IF($A6="","",IF(ISNUMBER($D6),H6*$D6,NA()))</f>
        <v/>
      </c>
      <c r="K6" s="25">
        <f>IF($A6="","",IF(ISNUMBER($D6),I6*$D6,NA()))</f>
        <v/>
      </c>
      <c r="L6" s="40" t="n"/>
    </row>
    <row r="7">
      <c r="A7" s="40" t="n"/>
      <c r="B7" s="40" t="n"/>
      <c r="C7" s="40" t="n"/>
      <c r="D7" s="40" t="n"/>
      <c r="E7" s="40" t="n"/>
      <c r="F7" s="40" t="n"/>
      <c r="G7" s="40" t="n"/>
      <c r="H7" s="25">
        <f>IF($A7="","",IF(INDEX(Takeoff_In!$D$2:$D$300,MATCH($A7,Takeoff_In!$A$2:$A$300,0))="",NA(),INDEX(Takeoff_In!$D$2:$D$300,MATCH($A7,Takeoff_In!$A$2:$A$300,0))))</f>
        <v/>
      </c>
      <c r="I7" s="25">
        <f>IF($A7="","",IF(INDEX(Takeoff_In!$E$2:$E$300,MATCH($A7,Takeoff_In!$A$2:$A$300,0))="",NA(),INDEX(Takeoff_In!$E$2:$E$300,MATCH($A7,Takeoff_In!$A$2:$A$300,0))))</f>
        <v/>
      </c>
      <c r="J7" s="25">
        <f>IF($A7="","",IF(ISNUMBER($D7),H7*$D7,NA()))</f>
        <v/>
      </c>
      <c r="K7" s="25">
        <f>IF($A7="","",IF(ISNUMBER($D7),I7*$D7,NA()))</f>
        <v/>
      </c>
      <c r="L7" s="40" t="n"/>
    </row>
    <row r="8">
      <c r="A8" s="40" t="n"/>
      <c r="B8" s="40" t="n"/>
      <c r="C8" s="40" t="n"/>
      <c r="D8" s="40" t="n"/>
      <c r="E8" s="40" t="n"/>
      <c r="F8" s="40" t="n"/>
      <c r="G8" s="40" t="n"/>
      <c r="H8" s="25">
        <f>IF($A8="","",IF(INDEX(Takeoff_In!$D$2:$D$300,MATCH($A8,Takeoff_In!$A$2:$A$300,0))="",NA(),INDEX(Takeoff_In!$D$2:$D$300,MATCH($A8,Takeoff_In!$A$2:$A$300,0))))</f>
        <v/>
      </c>
      <c r="I8" s="25">
        <f>IF($A8="","",IF(INDEX(Takeoff_In!$E$2:$E$300,MATCH($A8,Takeoff_In!$A$2:$A$300,0))="",NA(),INDEX(Takeoff_In!$E$2:$E$300,MATCH($A8,Takeoff_In!$A$2:$A$300,0))))</f>
        <v/>
      </c>
      <c r="J8" s="25">
        <f>IF($A8="","",IF(ISNUMBER($D8),H8*$D8,NA()))</f>
        <v/>
      </c>
      <c r="K8" s="25">
        <f>IF($A8="","",IF(ISNUMBER($D8),I8*$D8,NA()))</f>
        <v/>
      </c>
      <c r="L8" s="40" t="n"/>
    </row>
    <row r="9">
      <c r="A9" s="40" t="n"/>
      <c r="B9" s="40" t="n"/>
      <c r="C9" s="40" t="n"/>
      <c r="D9" s="40" t="n"/>
      <c r="E9" s="40" t="n"/>
      <c r="F9" s="40" t="n"/>
      <c r="G9" s="40" t="n"/>
      <c r="H9" s="25">
        <f>IF($A9="","",IF(INDEX(Takeoff_In!$D$2:$D$300,MATCH($A9,Takeoff_In!$A$2:$A$300,0))="",NA(),INDEX(Takeoff_In!$D$2:$D$300,MATCH($A9,Takeoff_In!$A$2:$A$300,0))))</f>
        <v/>
      </c>
      <c r="I9" s="25">
        <f>IF($A9="","",IF(INDEX(Takeoff_In!$E$2:$E$300,MATCH($A9,Takeoff_In!$A$2:$A$300,0))="",NA(),INDEX(Takeoff_In!$E$2:$E$300,MATCH($A9,Takeoff_In!$A$2:$A$300,0))))</f>
        <v/>
      </c>
      <c r="J9" s="25">
        <f>IF($A9="","",IF(ISNUMBER($D9),H9*$D9,NA()))</f>
        <v/>
      </c>
      <c r="K9" s="25">
        <f>IF($A9="","",IF(ISNUMBER($D9),I9*$D9,NA()))</f>
        <v/>
      </c>
      <c r="L9" s="40" t="n"/>
    </row>
    <row r="10">
      <c r="A10" s="40" t="n"/>
      <c r="B10" s="40" t="n"/>
      <c r="C10" s="40" t="n"/>
      <c r="D10" s="40" t="n"/>
      <c r="E10" s="40" t="n"/>
      <c r="F10" s="40" t="n"/>
      <c r="G10" s="40" t="n"/>
      <c r="H10" s="25">
        <f>IF($A10="","",IF(INDEX(Takeoff_In!$D$2:$D$300,MATCH($A10,Takeoff_In!$A$2:$A$300,0))="",NA(),INDEX(Takeoff_In!$D$2:$D$300,MATCH($A10,Takeoff_In!$A$2:$A$300,0))))</f>
        <v/>
      </c>
      <c r="I10" s="25">
        <f>IF($A10="","",IF(INDEX(Takeoff_In!$E$2:$E$300,MATCH($A10,Takeoff_In!$A$2:$A$300,0))="",NA(),INDEX(Takeoff_In!$E$2:$E$300,MATCH($A10,Takeoff_In!$A$2:$A$300,0))))</f>
        <v/>
      </c>
      <c r="J10" s="25">
        <f>IF($A10="","",IF(ISNUMBER($D10),H10*$D10,NA()))</f>
        <v/>
      </c>
      <c r="K10" s="25">
        <f>IF($A10="","",IF(ISNUMBER($D10),I10*$D10,NA()))</f>
        <v/>
      </c>
      <c r="L10" s="40" t="n"/>
    </row>
    <row r="11">
      <c r="A11" s="40" t="n"/>
      <c r="B11" s="40" t="n"/>
      <c r="C11" s="40" t="n"/>
      <c r="D11" s="40" t="n"/>
      <c r="E11" s="40" t="n"/>
      <c r="F11" s="40" t="n"/>
      <c r="G11" s="40" t="n"/>
      <c r="H11" s="25">
        <f>IF($A11="","",IF(INDEX(Takeoff_In!$D$2:$D$300,MATCH($A11,Takeoff_In!$A$2:$A$300,0))="",NA(),INDEX(Takeoff_In!$D$2:$D$300,MATCH($A11,Takeoff_In!$A$2:$A$300,0))))</f>
        <v/>
      </c>
      <c r="I11" s="25">
        <f>IF($A11="","",IF(INDEX(Takeoff_In!$E$2:$E$300,MATCH($A11,Takeoff_In!$A$2:$A$300,0))="",NA(),INDEX(Takeoff_In!$E$2:$E$300,MATCH($A11,Takeoff_In!$A$2:$A$300,0))))</f>
        <v/>
      </c>
      <c r="J11" s="25">
        <f>IF($A11="","",IF(ISNUMBER($D11),H11*$D11,NA()))</f>
        <v/>
      </c>
      <c r="K11" s="25">
        <f>IF($A11="","",IF(ISNUMBER($D11),I11*$D11,NA()))</f>
        <v/>
      </c>
      <c r="L11" s="40" t="n"/>
    </row>
    <row r="12">
      <c r="A12" s="40" t="n"/>
      <c r="B12" s="40" t="n"/>
      <c r="C12" s="40" t="n"/>
      <c r="D12" s="40" t="n"/>
      <c r="E12" s="40" t="n"/>
      <c r="F12" s="40" t="n"/>
      <c r="G12" s="40" t="n"/>
      <c r="H12" s="25">
        <f>IF($A12="","",IF(INDEX(Takeoff_In!$D$2:$D$300,MATCH($A12,Takeoff_In!$A$2:$A$300,0))="",NA(),INDEX(Takeoff_In!$D$2:$D$300,MATCH($A12,Takeoff_In!$A$2:$A$300,0))))</f>
        <v/>
      </c>
      <c r="I12" s="25">
        <f>IF($A12="","",IF(INDEX(Takeoff_In!$E$2:$E$300,MATCH($A12,Takeoff_In!$A$2:$A$300,0))="",NA(),INDEX(Takeoff_In!$E$2:$E$300,MATCH($A12,Takeoff_In!$A$2:$A$300,0))))</f>
        <v/>
      </c>
      <c r="J12" s="25">
        <f>IF($A12="","",IF(ISNUMBER($D12),H12*$D12,NA()))</f>
        <v/>
      </c>
      <c r="K12" s="25">
        <f>IF($A12="","",IF(ISNUMBER($D12),I12*$D12,NA()))</f>
        <v/>
      </c>
      <c r="L12" s="40" t="n"/>
    </row>
    <row r="13">
      <c r="A13" s="40" t="n"/>
      <c r="B13" s="40" t="n"/>
      <c r="C13" s="40" t="n"/>
      <c r="D13" s="40" t="n"/>
      <c r="E13" s="40" t="n"/>
      <c r="F13" s="40" t="n"/>
      <c r="G13" s="40" t="n"/>
      <c r="H13" s="25">
        <f>IF($A13="","",IF(INDEX(Takeoff_In!$D$2:$D$300,MATCH($A13,Takeoff_In!$A$2:$A$300,0))="",NA(),INDEX(Takeoff_In!$D$2:$D$300,MATCH($A13,Takeoff_In!$A$2:$A$300,0))))</f>
        <v/>
      </c>
      <c r="I13" s="25">
        <f>IF($A13="","",IF(INDEX(Takeoff_In!$E$2:$E$300,MATCH($A13,Takeoff_In!$A$2:$A$300,0))="",NA(),INDEX(Takeoff_In!$E$2:$E$300,MATCH($A13,Takeoff_In!$A$2:$A$300,0))))</f>
        <v/>
      </c>
      <c r="J13" s="25">
        <f>IF($A13="","",IF(ISNUMBER($D13),H13*$D13,NA()))</f>
        <v/>
      </c>
      <c r="K13" s="25">
        <f>IF($A13="","",IF(ISNUMBER($D13),I13*$D13,NA()))</f>
        <v/>
      </c>
      <c r="L13" s="40" t="n"/>
    </row>
    <row r="14">
      <c r="A14" s="40" t="n"/>
      <c r="B14" s="40" t="n"/>
      <c r="C14" s="40" t="n"/>
      <c r="D14" s="40" t="n"/>
      <c r="E14" s="40" t="n"/>
      <c r="F14" s="40" t="n"/>
      <c r="G14" s="40" t="n"/>
      <c r="H14" s="25">
        <f>IF($A14="","",IF(INDEX(Takeoff_In!$D$2:$D$300,MATCH($A14,Takeoff_In!$A$2:$A$300,0))="",NA(),INDEX(Takeoff_In!$D$2:$D$300,MATCH($A14,Takeoff_In!$A$2:$A$300,0))))</f>
        <v/>
      </c>
      <c r="I14" s="25">
        <f>IF($A14="","",IF(INDEX(Takeoff_In!$E$2:$E$300,MATCH($A14,Takeoff_In!$A$2:$A$300,0))="",NA(),INDEX(Takeoff_In!$E$2:$E$300,MATCH($A14,Takeoff_In!$A$2:$A$300,0))))</f>
        <v/>
      </c>
      <c r="J14" s="25">
        <f>IF($A14="","",IF(ISNUMBER($D14),H14*$D14,NA()))</f>
        <v/>
      </c>
      <c r="K14" s="25">
        <f>IF($A14="","",IF(ISNUMBER($D14),I14*$D14,NA()))</f>
        <v/>
      </c>
      <c r="L14" s="40" t="n"/>
    </row>
    <row r="15">
      <c r="A15" s="40" t="n"/>
      <c r="B15" s="40" t="n"/>
      <c r="C15" s="40" t="n"/>
      <c r="D15" s="40" t="n"/>
      <c r="E15" s="40" t="n"/>
      <c r="F15" s="40" t="n"/>
      <c r="G15" s="40" t="n"/>
      <c r="H15" s="25">
        <f>IF($A15="","",IF(INDEX(Takeoff_In!$D$2:$D$300,MATCH($A15,Takeoff_In!$A$2:$A$300,0))="",NA(),INDEX(Takeoff_In!$D$2:$D$300,MATCH($A15,Takeoff_In!$A$2:$A$300,0))))</f>
        <v/>
      </c>
      <c r="I15" s="25">
        <f>IF($A15="","",IF(INDEX(Takeoff_In!$E$2:$E$300,MATCH($A15,Takeoff_In!$A$2:$A$300,0))="",NA(),INDEX(Takeoff_In!$E$2:$E$300,MATCH($A15,Takeoff_In!$A$2:$A$300,0))))</f>
        <v/>
      </c>
      <c r="J15" s="25">
        <f>IF($A15="","",IF(ISNUMBER($D15),H15*$D15,NA()))</f>
        <v/>
      </c>
      <c r="K15" s="25">
        <f>IF($A15="","",IF(ISNUMBER($D15),I15*$D15,NA()))</f>
        <v/>
      </c>
      <c r="L15" s="40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25">
        <f>IF($A16="","",IF(INDEX(Takeoff_In!$D$2:$D$300,MATCH($A16,Takeoff_In!$A$2:$A$300,0))="",NA(),INDEX(Takeoff_In!$D$2:$D$300,MATCH($A16,Takeoff_In!$A$2:$A$300,0))))</f>
        <v/>
      </c>
      <c r="I16" s="25">
        <f>IF($A16="","",IF(INDEX(Takeoff_In!$E$2:$E$300,MATCH($A16,Takeoff_In!$A$2:$A$300,0))="",NA(),INDEX(Takeoff_In!$E$2:$E$300,MATCH($A16,Takeoff_In!$A$2:$A$300,0))))</f>
        <v/>
      </c>
      <c r="J16" s="25">
        <f>IF($A16="","",IF(ISNUMBER($D16),H16*$D16,NA()))</f>
        <v/>
      </c>
      <c r="K16" s="25">
        <f>IF($A16="","",IF(ISNUMBER($D16),I16*$D16,NA()))</f>
        <v/>
      </c>
      <c r="L16" s="40" t="n"/>
    </row>
    <row r="17">
      <c r="A17" s="40" t="n"/>
      <c r="B17" s="40" t="n"/>
      <c r="C17" s="40" t="n"/>
      <c r="D17" s="40" t="n"/>
      <c r="E17" s="40" t="n"/>
      <c r="F17" s="40" t="n"/>
      <c r="G17" s="40" t="n"/>
      <c r="H17" s="25">
        <f>IF($A17="","",IF(INDEX(Takeoff_In!$D$2:$D$300,MATCH($A17,Takeoff_In!$A$2:$A$300,0))="",NA(),INDEX(Takeoff_In!$D$2:$D$300,MATCH($A17,Takeoff_In!$A$2:$A$300,0))))</f>
        <v/>
      </c>
      <c r="I17" s="25">
        <f>IF($A17="","",IF(INDEX(Takeoff_In!$E$2:$E$300,MATCH($A17,Takeoff_In!$A$2:$A$300,0))="",NA(),INDEX(Takeoff_In!$E$2:$E$300,MATCH($A17,Takeoff_In!$A$2:$A$300,0))))</f>
        <v/>
      </c>
      <c r="J17" s="25">
        <f>IF($A17="","",IF(ISNUMBER($D17),H17*$D17,NA()))</f>
        <v/>
      </c>
      <c r="K17" s="25">
        <f>IF($A17="","",IF(ISNUMBER($D17),I17*$D17,NA()))</f>
        <v/>
      </c>
      <c r="L17" s="40" t="n"/>
    </row>
    <row r="18">
      <c r="A18" s="40" t="n"/>
      <c r="B18" s="40" t="n"/>
      <c r="C18" s="40" t="n"/>
      <c r="D18" s="40" t="n"/>
      <c r="E18" s="40" t="n"/>
      <c r="F18" s="40" t="n"/>
      <c r="G18" s="40" t="n"/>
      <c r="H18" s="25">
        <f>IF($A18="","",IF(INDEX(Takeoff_In!$D$2:$D$300,MATCH($A18,Takeoff_In!$A$2:$A$300,0))="",NA(),INDEX(Takeoff_In!$D$2:$D$300,MATCH($A18,Takeoff_In!$A$2:$A$300,0))))</f>
        <v/>
      </c>
      <c r="I18" s="25">
        <f>IF($A18="","",IF(INDEX(Takeoff_In!$E$2:$E$300,MATCH($A18,Takeoff_In!$A$2:$A$300,0))="",NA(),INDEX(Takeoff_In!$E$2:$E$300,MATCH($A18,Takeoff_In!$A$2:$A$300,0))))</f>
        <v/>
      </c>
      <c r="J18" s="25">
        <f>IF($A18="","",IF(ISNUMBER($D18),H18*$D18,NA()))</f>
        <v/>
      </c>
      <c r="K18" s="25">
        <f>IF($A18="","",IF(ISNUMBER($D18),I18*$D18,NA()))</f>
        <v/>
      </c>
      <c r="L18" s="40" t="n"/>
    </row>
    <row r="19">
      <c r="A19" s="40" t="n"/>
      <c r="B19" s="40" t="n"/>
      <c r="C19" s="40" t="n"/>
      <c r="D19" s="40" t="n"/>
      <c r="E19" s="40" t="n"/>
      <c r="F19" s="40" t="n"/>
      <c r="G19" s="40" t="n"/>
      <c r="H19" s="25">
        <f>IF($A19="","",IF(INDEX(Takeoff_In!$D$2:$D$300,MATCH($A19,Takeoff_In!$A$2:$A$300,0))="",NA(),INDEX(Takeoff_In!$D$2:$D$300,MATCH($A19,Takeoff_In!$A$2:$A$300,0))))</f>
        <v/>
      </c>
      <c r="I19" s="25">
        <f>IF($A19="","",IF(INDEX(Takeoff_In!$E$2:$E$300,MATCH($A19,Takeoff_In!$A$2:$A$300,0))="",NA(),INDEX(Takeoff_In!$E$2:$E$300,MATCH($A19,Takeoff_In!$A$2:$A$300,0))))</f>
        <v/>
      </c>
      <c r="J19" s="25">
        <f>IF($A19="","",IF(ISNUMBER($D19),H19*$D19,NA()))</f>
        <v/>
      </c>
      <c r="K19" s="25">
        <f>IF($A19="","",IF(ISNUMBER($D19),I19*$D19,NA()))</f>
        <v/>
      </c>
      <c r="L19" s="40" t="n"/>
    </row>
    <row r="20">
      <c r="A20" s="40" t="n"/>
      <c r="B20" s="40" t="n"/>
      <c r="C20" s="40" t="n"/>
      <c r="D20" s="40" t="n"/>
      <c r="E20" s="40" t="n"/>
      <c r="F20" s="40" t="n"/>
      <c r="G20" s="40" t="n"/>
      <c r="H20" s="25">
        <f>IF($A20="","",IF(INDEX(Takeoff_In!$D$2:$D$300,MATCH($A20,Takeoff_In!$A$2:$A$300,0))="",NA(),INDEX(Takeoff_In!$D$2:$D$300,MATCH($A20,Takeoff_In!$A$2:$A$300,0))))</f>
        <v/>
      </c>
      <c r="I20" s="25">
        <f>IF($A20="","",IF(INDEX(Takeoff_In!$E$2:$E$300,MATCH($A20,Takeoff_In!$A$2:$A$300,0))="",NA(),INDEX(Takeoff_In!$E$2:$E$300,MATCH($A20,Takeoff_In!$A$2:$A$300,0))))</f>
        <v/>
      </c>
      <c r="J20" s="25">
        <f>IF($A20="","",IF(ISNUMBER($D20),H20*$D20,NA()))</f>
        <v/>
      </c>
      <c r="K20" s="25">
        <f>IF($A20="","",IF(ISNUMBER($D20),I20*$D20,NA()))</f>
        <v/>
      </c>
      <c r="L20" s="40" t="n"/>
    </row>
    <row r="21">
      <c r="A21" s="40" t="n"/>
      <c r="B21" s="40" t="n"/>
      <c r="C21" s="40" t="n"/>
      <c r="D21" s="40" t="n"/>
      <c r="E21" s="40" t="n"/>
      <c r="F21" s="40" t="n"/>
      <c r="G21" s="40" t="n"/>
      <c r="H21" s="25">
        <f>IF($A21="","",IF(INDEX(Takeoff_In!$D$2:$D$300,MATCH($A21,Takeoff_In!$A$2:$A$300,0))="",NA(),INDEX(Takeoff_In!$D$2:$D$300,MATCH($A21,Takeoff_In!$A$2:$A$300,0))))</f>
        <v/>
      </c>
      <c r="I21" s="25">
        <f>IF($A21="","",IF(INDEX(Takeoff_In!$E$2:$E$300,MATCH($A21,Takeoff_In!$A$2:$A$300,0))="",NA(),INDEX(Takeoff_In!$E$2:$E$300,MATCH($A21,Takeoff_In!$A$2:$A$300,0))))</f>
        <v/>
      </c>
      <c r="J21" s="25">
        <f>IF($A21="","",IF(ISNUMBER($D21),H21*$D21,NA()))</f>
        <v/>
      </c>
      <c r="K21" s="25">
        <f>IF($A21="","",IF(ISNUMBER($D21),I21*$D21,NA()))</f>
        <v/>
      </c>
      <c r="L21" s="40" t="n"/>
    </row>
    <row r="22">
      <c r="A22" s="40" t="n"/>
      <c r="B22" s="40" t="n"/>
      <c r="C22" s="40" t="n"/>
      <c r="D22" s="40" t="n"/>
      <c r="E22" s="40" t="n"/>
      <c r="F22" s="40" t="n"/>
      <c r="G22" s="40" t="n"/>
      <c r="H22" s="25">
        <f>IF($A22="","",IF(INDEX(Takeoff_In!$D$2:$D$300,MATCH($A22,Takeoff_In!$A$2:$A$300,0))="",NA(),INDEX(Takeoff_In!$D$2:$D$300,MATCH($A22,Takeoff_In!$A$2:$A$300,0))))</f>
        <v/>
      </c>
      <c r="I22" s="25">
        <f>IF($A22="","",IF(INDEX(Takeoff_In!$E$2:$E$300,MATCH($A22,Takeoff_In!$A$2:$A$300,0))="",NA(),INDEX(Takeoff_In!$E$2:$E$300,MATCH($A22,Takeoff_In!$A$2:$A$300,0))))</f>
        <v/>
      </c>
      <c r="J22" s="25">
        <f>IF($A22="","",IF(ISNUMBER($D22),H22*$D22,NA()))</f>
        <v/>
      </c>
      <c r="K22" s="25">
        <f>IF($A22="","",IF(ISNUMBER($D22),I22*$D22,NA()))</f>
        <v/>
      </c>
      <c r="L22" s="40" t="n"/>
    </row>
    <row r="23">
      <c r="A23" s="40" t="n"/>
      <c r="B23" s="40" t="n"/>
      <c r="C23" s="40" t="n"/>
      <c r="D23" s="40" t="n"/>
      <c r="E23" s="40" t="n"/>
      <c r="F23" s="40" t="n"/>
      <c r="G23" s="40" t="n"/>
      <c r="H23" s="25">
        <f>IF($A23="","",IF(INDEX(Takeoff_In!$D$2:$D$300,MATCH($A23,Takeoff_In!$A$2:$A$300,0))="",NA(),INDEX(Takeoff_In!$D$2:$D$300,MATCH($A23,Takeoff_In!$A$2:$A$300,0))))</f>
        <v/>
      </c>
      <c r="I23" s="25">
        <f>IF($A23="","",IF(INDEX(Takeoff_In!$E$2:$E$300,MATCH($A23,Takeoff_In!$A$2:$A$300,0))="",NA(),INDEX(Takeoff_In!$E$2:$E$300,MATCH($A23,Takeoff_In!$A$2:$A$300,0))))</f>
        <v/>
      </c>
      <c r="J23" s="25">
        <f>IF($A23="","",IF(ISNUMBER($D23),H23*$D23,NA()))</f>
        <v/>
      </c>
      <c r="K23" s="25">
        <f>IF($A23="","",IF(ISNUMBER($D23),I23*$D23,NA()))</f>
        <v/>
      </c>
      <c r="L23" s="40" t="n"/>
    </row>
    <row r="24">
      <c r="A24" s="40" t="n"/>
      <c r="B24" s="40" t="n"/>
      <c r="C24" s="40" t="n"/>
      <c r="D24" s="40" t="n"/>
      <c r="E24" s="40" t="n"/>
      <c r="F24" s="40" t="n"/>
      <c r="G24" s="40" t="n"/>
      <c r="H24" s="25">
        <f>IF($A24="","",IF(INDEX(Takeoff_In!$D$2:$D$300,MATCH($A24,Takeoff_In!$A$2:$A$300,0))="",NA(),INDEX(Takeoff_In!$D$2:$D$300,MATCH($A24,Takeoff_In!$A$2:$A$300,0))))</f>
        <v/>
      </c>
      <c r="I24" s="25">
        <f>IF($A24="","",IF(INDEX(Takeoff_In!$E$2:$E$300,MATCH($A24,Takeoff_In!$A$2:$A$300,0))="",NA(),INDEX(Takeoff_In!$E$2:$E$300,MATCH($A24,Takeoff_In!$A$2:$A$300,0))))</f>
        <v/>
      </c>
      <c r="J24" s="25">
        <f>IF($A24="","",IF(ISNUMBER($D24),H24*$D24,NA()))</f>
        <v/>
      </c>
      <c r="K24" s="25">
        <f>IF($A24="","",IF(ISNUMBER($D24),I24*$D24,NA()))</f>
        <v/>
      </c>
      <c r="L24" s="40" t="n"/>
    </row>
    <row r="25">
      <c r="A25" s="40" t="n"/>
      <c r="B25" s="40" t="n"/>
      <c r="C25" s="40" t="n"/>
      <c r="D25" s="40" t="n"/>
      <c r="E25" s="40" t="n"/>
      <c r="F25" s="40" t="n"/>
      <c r="G25" s="40" t="n"/>
      <c r="H25" s="25">
        <f>IF($A25="","",IF(INDEX(Takeoff_In!$D$2:$D$300,MATCH($A25,Takeoff_In!$A$2:$A$300,0))="",NA(),INDEX(Takeoff_In!$D$2:$D$300,MATCH($A25,Takeoff_In!$A$2:$A$300,0))))</f>
        <v/>
      </c>
      <c r="I25" s="25">
        <f>IF($A25="","",IF(INDEX(Takeoff_In!$E$2:$E$300,MATCH($A25,Takeoff_In!$A$2:$A$300,0))="",NA(),INDEX(Takeoff_In!$E$2:$E$300,MATCH($A25,Takeoff_In!$A$2:$A$300,0))))</f>
        <v/>
      </c>
      <c r="J25" s="25">
        <f>IF($A25="","",IF(ISNUMBER($D25),H25*$D25,NA()))</f>
        <v/>
      </c>
      <c r="K25" s="25">
        <f>IF($A25="","",IF(ISNUMBER($D25),I25*$D25,NA()))</f>
        <v/>
      </c>
      <c r="L25" s="40" t="n"/>
    </row>
    <row r="26">
      <c r="A26" s="40" t="n"/>
      <c r="B26" s="40" t="n"/>
      <c r="C26" s="40" t="n"/>
      <c r="D26" s="40" t="n"/>
      <c r="E26" s="40" t="n"/>
      <c r="F26" s="40" t="n"/>
      <c r="G26" s="40" t="n"/>
      <c r="H26" s="25">
        <f>IF($A26="","",IF(INDEX(Takeoff_In!$D$2:$D$300,MATCH($A26,Takeoff_In!$A$2:$A$300,0))="",NA(),INDEX(Takeoff_In!$D$2:$D$300,MATCH($A26,Takeoff_In!$A$2:$A$300,0))))</f>
        <v/>
      </c>
      <c r="I26" s="25">
        <f>IF($A26="","",IF(INDEX(Takeoff_In!$E$2:$E$300,MATCH($A26,Takeoff_In!$A$2:$A$300,0))="",NA(),INDEX(Takeoff_In!$E$2:$E$300,MATCH($A26,Takeoff_In!$A$2:$A$300,0))))</f>
        <v/>
      </c>
      <c r="J26" s="25">
        <f>IF($A26="","",IF(ISNUMBER($D26),H26*$D26,NA()))</f>
        <v/>
      </c>
      <c r="K26" s="25">
        <f>IF($A26="","",IF(ISNUMBER($D26),I26*$D26,NA()))</f>
        <v/>
      </c>
      <c r="L26" s="40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25">
        <f>IF($A27="","",IF(INDEX(Takeoff_In!$D$2:$D$300,MATCH($A27,Takeoff_In!$A$2:$A$300,0))="",NA(),INDEX(Takeoff_In!$D$2:$D$300,MATCH($A27,Takeoff_In!$A$2:$A$300,0))))</f>
        <v/>
      </c>
      <c r="I27" s="25">
        <f>IF($A27="","",IF(INDEX(Takeoff_In!$E$2:$E$300,MATCH($A27,Takeoff_In!$A$2:$A$300,0))="",NA(),INDEX(Takeoff_In!$E$2:$E$300,MATCH($A27,Takeoff_In!$A$2:$A$300,0))))</f>
        <v/>
      </c>
      <c r="J27" s="25">
        <f>IF($A27="","",IF(ISNUMBER($D27),H27*$D27,NA()))</f>
        <v/>
      </c>
      <c r="K27" s="25">
        <f>IF($A27="","",IF(ISNUMBER($D27),I27*$D27,NA()))</f>
        <v/>
      </c>
      <c r="L27" s="40" t="n"/>
    </row>
    <row r="28">
      <c r="A28" s="40" t="n"/>
      <c r="B28" s="40" t="n"/>
      <c r="C28" s="40" t="n"/>
      <c r="D28" s="40" t="n"/>
      <c r="E28" s="40" t="n"/>
      <c r="F28" s="40" t="n"/>
      <c r="G28" s="40" t="n"/>
      <c r="H28" s="25">
        <f>IF($A28="","",IF(INDEX(Takeoff_In!$D$2:$D$300,MATCH($A28,Takeoff_In!$A$2:$A$300,0))="",NA(),INDEX(Takeoff_In!$D$2:$D$300,MATCH($A28,Takeoff_In!$A$2:$A$300,0))))</f>
        <v/>
      </c>
      <c r="I28" s="25">
        <f>IF($A28="","",IF(INDEX(Takeoff_In!$E$2:$E$300,MATCH($A28,Takeoff_In!$A$2:$A$300,0))="",NA(),INDEX(Takeoff_In!$E$2:$E$300,MATCH($A28,Takeoff_In!$A$2:$A$300,0))))</f>
        <v/>
      </c>
      <c r="J28" s="25">
        <f>IF($A28="","",IF(ISNUMBER($D28),H28*$D28,NA()))</f>
        <v/>
      </c>
      <c r="K28" s="25">
        <f>IF($A28="","",IF(ISNUMBER($D28),I28*$D28,NA()))</f>
        <v/>
      </c>
      <c r="L28" s="40" t="n"/>
    </row>
    <row r="29">
      <c r="A29" s="40" t="n"/>
      <c r="B29" s="40" t="n"/>
      <c r="C29" s="40" t="n"/>
      <c r="D29" s="40" t="n"/>
      <c r="E29" s="40" t="n"/>
      <c r="F29" s="40" t="n"/>
      <c r="G29" s="40" t="n"/>
      <c r="H29" s="25">
        <f>IF($A29="","",IF(INDEX(Takeoff_In!$D$2:$D$300,MATCH($A29,Takeoff_In!$A$2:$A$300,0))="",NA(),INDEX(Takeoff_In!$D$2:$D$300,MATCH($A29,Takeoff_In!$A$2:$A$300,0))))</f>
        <v/>
      </c>
      <c r="I29" s="25">
        <f>IF($A29="","",IF(INDEX(Takeoff_In!$E$2:$E$300,MATCH($A29,Takeoff_In!$A$2:$A$300,0))="",NA(),INDEX(Takeoff_In!$E$2:$E$300,MATCH($A29,Takeoff_In!$A$2:$A$300,0))))</f>
        <v/>
      </c>
      <c r="J29" s="25">
        <f>IF($A29="","",IF(ISNUMBER($D29),H29*$D29,NA()))</f>
        <v/>
      </c>
      <c r="K29" s="25">
        <f>IF($A29="","",IF(ISNUMBER($D29),I29*$D29,NA()))</f>
        <v/>
      </c>
      <c r="L29" s="40" t="n"/>
    </row>
    <row r="30">
      <c r="A30" s="40" t="n"/>
      <c r="B30" s="40" t="n"/>
      <c r="C30" s="40" t="n"/>
      <c r="D30" s="40" t="n"/>
      <c r="E30" s="40" t="n"/>
      <c r="F30" s="40" t="n"/>
      <c r="G30" s="40" t="n"/>
      <c r="H30" s="25">
        <f>IF($A30="","",IF(INDEX(Takeoff_In!$D$2:$D$300,MATCH($A30,Takeoff_In!$A$2:$A$300,0))="",NA(),INDEX(Takeoff_In!$D$2:$D$300,MATCH($A30,Takeoff_In!$A$2:$A$300,0))))</f>
        <v/>
      </c>
      <c r="I30" s="25">
        <f>IF($A30="","",IF(INDEX(Takeoff_In!$E$2:$E$300,MATCH($A30,Takeoff_In!$A$2:$A$300,0))="",NA(),INDEX(Takeoff_In!$E$2:$E$300,MATCH($A30,Takeoff_In!$A$2:$A$300,0))))</f>
        <v/>
      </c>
      <c r="J30" s="25">
        <f>IF($A30="","",IF(ISNUMBER($D30),H30*$D30,NA()))</f>
        <v/>
      </c>
      <c r="K30" s="25">
        <f>IF($A30="","",IF(ISNUMBER($D30),I30*$D30,NA()))</f>
        <v/>
      </c>
      <c r="L30" s="40" t="n"/>
    </row>
    <row r="31">
      <c r="A31" s="40" t="n"/>
      <c r="B31" s="40" t="n"/>
      <c r="C31" s="40" t="n"/>
      <c r="D31" s="40" t="n"/>
      <c r="E31" s="40" t="n"/>
      <c r="F31" s="40" t="n"/>
      <c r="G31" s="40" t="n"/>
      <c r="H31" s="25">
        <f>IF($A31="","",IF(INDEX(Takeoff_In!$D$2:$D$300,MATCH($A31,Takeoff_In!$A$2:$A$300,0))="",NA(),INDEX(Takeoff_In!$D$2:$D$300,MATCH($A31,Takeoff_In!$A$2:$A$300,0))))</f>
        <v/>
      </c>
      <c r="I31" s="25">
        <f>IF($A31="","",IF(INDEX(Takeoff_In!$E$2:$E$300,MATCH($A31,Takeoff_In!$A$2:$A$300,0))="",NA(),INDEX(Takeoff_In!$E$2:$E$300,MATCH($A31,Takeoff_In!$A$2:$A$300,0))))</f>
        <v/>
      </c>
      <c r="J31" s="25">
        <f>IF($A31="","",IF(ISNUMBER($D31),H31*$D31,NA()))</f>
        <v/>
      </c>
      <c r="K31" s="25">
        <f>IF($A31="","",IF(ISNUMBER($D31),I31*$D31,NA()))</f>
        <v/>
      </c>
      <c r="L31" s="40" t="n"/>
    </row>
    <row r="32">
      <c r="A32" s="40" t="n"/>
      <c r="B32" s="40" t="n"/>
      <c r="C32" s="40" t="n"/>
      <c r="D32" s="40" t="n"/>
      <c r="E32" s="40" t="n"/>
      <c r="F32" s="40" t="n"/>
      <c r="G32" s="40" t="n"/>
      <c r="H32" s="25">
        <f>IF($A32="","",IF(INDEX(Takeoff_In!$D$2:$D$300,MATCH($A32,Takeoff_In!$A$2:$A$300,0))="",NA(),INDEX(Takeoff_In!$D$2:$D$300,MATCH($A32,Takeoff_In!$A$2:$A$300,0))))</f>
        <v/>
      </c>
      <c r="I32" s="25">
        <f>IF($A32="","",IF(INDEX(Takeoff_In!$E$2:$E$300,MATCH($A32,Takeoff_In!$A$2:$A$300,0))="",NA(),INDEX(Takeoff_In!$E$2:$E$300,MATCH($A32,Takeoff_In!$A$2:$A$300,0))))</f>
        <v/>
      </c>
      <c r="J32" s="25">
        <f>IF($A32="","",IF(ISNUMBER($D32),H32*$D32,NA()))</f>
        <v/>
      </c>
      <c r="K32" s="25">
        <f>IF($A32="","",IF(ISNUMBER($D32),I32*$D32,NA()))</f>
        <v/>
      </c>
      <c r="L32" s="40" t="n"/>
    </row>
    <row r="33">
      <c r="A33" s="40" t="n"/>
      <c r="B33" s="40" t="n"/>
      <c r="C33" s="40" t="n"/>
      <c r="D33" s="40" t="n"/>
      <c r="E33" s="40" t="n"/>
      <c r="F33" s="40" t="n"/>
      <c r="G33" s="40" t="n"/>
      <c r="H33" s="25">
        <f>IF($A33="","",IF(INDEX(Takeoff_In!$D$2:$D$300,MATCH($A33,Takeoff_In!$A$2:$A$300,0))="",NA(),INDEX(Takeoff_In!$D$2:$D$300,MATCH($A33,Takeoff_In!$A$2:$A$300,0))))</f>
        <v/>
      </c>
      <c r="I33" s="25">
        <f>IF($A33="","",IF(INDEX(Takeoff_In!$E$2:$E$300,MATCH($A33,Takeoff_In!$A$2:$A$300,0))="",NA(),INDEX(Takeoff_In!$E$2:$E$300,MATCH($A33,Takeoff_In!$A$2:$A$300,0))))</f>
        <v/>
      </c>
      <c r="J33" s="25">
        <f>IF($A33="","",IF(ISNUMBER($D33),H33*$D33,NA()))</f>
        <v/>
      </c>
      <c r="K33" s="25">
        <f>IF($A33="","",IF(ISNUMBER($D33),I33*$D33,NA()))</f>
        <v/>
      </c>
      <c r="L33" s="40" t="n"/>
    </row>
    <row r="34">
      <c r="A34" s="40" t="n"/>
      <c r="B34" s="40" t="n"/>
      <c r="C34" s="40" t="n"/>
      <c r="D34" s="40" t="n"/>
      <c r="E34" s="40" t="n"/>
      <c r="F34" s="40" t="n"/>
      <c r="G34" s="40" t="n"/>
      <c r="H34" s="25">
        <f>IF($A34="","",IF(INDEX(Takeoff_In!$D$2:$D$300,MATCH($A34,Takeoff_In!$A$2:$A$300,0))="",NA(),INDEX(Takeoff_In!$D$2:$D$300,MATCH($A34,Takeoff_In!$A$2:$A$300,0))))</f>
        <v/>
      </c>
      <c r="I34" s="25">
        <f>IF($A34="","",IF(INDEX(Takeoff_In!$E$2:$E$300,MATCH($A34,Takeoff_In!$A$2:$A$300,0))="",NA(),INDEX(Takeoff_In!$E$2:$E$300,MATCH($A34,Takeoff_In!$A$2:$A$300,0))))</f>
        <v/>
      </c>
      <c r="J34" s="25">
        <f>IF($A34="","",IF(ISNUMBER($D34),H34*$D34,NA()))</f>
        <v/>
      </c>
      <c r="K34" s="25">
        <f>IF($A34="","",IF(ISNUMBER($D34),I34*$D34,NA()))</f>
        <v/>
      </c>
      <c r="L34" s="40" t="n"/>
    </row>
    <row r="35">
      <c r="A35" s="40" t="n"/>
      <c r="B35" s="40" t="n"/>
      <c r="C35" s="40" t="n"/>
      <c r="D35" s="40" t="n"/>
      <c r="E35" s="40" t="n"/>
      <c r="F35" s="40" t="n"/>
      <c r="G35" s="40" t="n"/>
      <c r="H35" s="25">
        <f>IF($A35="","",IF(INDEX(Takeoff_In!$D$2:$D$300,MATCH($A35,Takeoff_In!$A$2:$A$300,0))="",NA(),INDEX(Takeoff_In!$D$2:$D$300,MATCH($A35,Takeoff_In!$A$2:$A$300,0))))</f>
        <v/>
      </c>
      <c r="I35" s="25">
        <f>IF($A35="","",IF(INDEX(Takeoff_In!$E$2:$E$300,MATCH($A35,Takeoff_In!$A$2:$A$300,0))="",NA(),INDEX(Takeoff_In!$E$2:$E$300,MATCH($A35,Takeoff_In!$A$2:$A$300,0))))</f>
        <v/>
      </c>
      <c r="J35" s="25">
        <f>IF($A35="","",IF(ISNUMBER($D35),H35*$D35,NA()))</f>
        <v/>
      </c>
      <c r="K35" s="25">
        <f>IF($A35="","",IF(ISNUMBER($D35),I35*$D35,NA()))</f>
        <v/>
      </c>
      <c r="L35" s="40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25">
        <f>IF($A36="","",IF(INDEX(Takeoff_In!$D$2:$D$300,MATCH($A36,Takeoff_In!$A$2:$A$300,0))="",NA(),INDEX(Takeoff_In!$D$2:$D$300,MATCH($A36,Takeoff_In!$A$2:$A$300,0))))</f>
        <v/>
      </c>
      <c r="I36" s="25">
        <f>IF($A36="","",IF(INDEX(Takeoff_In!$E$2:$E$300,MATCH($A36,Takeoff_In!$A$2:$A$300,0))="",NA(),INDEX(Takeoff_In!$E$2:$E$300,MATCH($A36,Takeoff_In!$A$2:$A$300,0))))</f>
        <v/>
      </c>
      <c r="J36" s="25">
        <f>IF($A36="","",IF(ISNUMBER($D36),H36*$D36,NA()))</f>
        <v/>
      </c>
      <c r="K36" s="25">
        <f>IF($A36="","",IF(ISNUMBER($D36),I36*$D36,NA()))</f>
        <v/>
      </c>
      <c r="L36" s="40" t="n"/>
    </row>
    <row r="37">
      <c r="A37" s="40" t="n"/>
      <c r="B37" s="40" t="n"/>
      <c r="C37" s="40" t="n"/>
      <c r="D37" s="40" t="n"/>
      <c r="E37" s="40" t="n"/>
      <c r="F37" s="40" t="n"/>
      <c r="G37" s="40" t="n"/>
      <c r="H37" s="25">
        <f>IF($A37="","",IF(INDEX(Takeoff_In!$D$2:$D$300,MATCH($A37,Takeoff_In!$A$2:$A$300,0))="",NA(),INDEX(Takeoff_In!$D$2:$D$300,MATCH($A37,Takeoff_In!$A$2:$A$300,0))))</f>
        <v/>
      </c>
      <c r="I37" s="25">
        <f>IF($A37="","",IF(INDEX(Takeoff_In!$E$2:$E$300,MATCH($A37,Takeoff_In!$A$2:$A$300,0))="",NA(),INDEX(Takeoff_In!$E$2:$E$300,MATCH($A37,Takeoff_In!$A$2:$A$300,0))))</f>
        <v/>
      </c>
      <c r="J37" s="25">
        <f>IF($A37="","",IF(ISNUMBER($D37),H37*$D37,NA()))</f>
        <v/>
      </c>
      <c r="K37" s="25">
        <f>IF($A37="","",IF(ISNUMBER($D37),I37*$D37,NA()))</f>
        <v/>
      </c>
      <c r="L37" s="40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25">
        <f>IF($A38="","",IF(INDEX(Takeoff_In!$D$2:$D$300,MATCH($A38,Takeoff_In!$A$2:$A$300,0))="",NA(),INDEX(Takeoff_In!$D$2:$D$300,MATCH($A38,Takeoff_In!$A$2:$A$300,0))))</f>
        <v/>
      </c>
      <c r="I38" s="25">
        <f>IF($A38="","",IF(INDEX(Takeoff_In!$E$2:$E$300,MATCH($A38,Takeoff_In!$A$2:$A$300,0))="",NA(),INDEX(Takeoff_In!$E$2:$E$300,MATCH($A38,Takeoff_In!$A$2:$A$300,0))))</f>
        <v/>
      </c>
      <c r="J38" s="25">
        <f>IF($A38="","",IF(ISNUMBER($D38),H38*$D38,NA()))</f>
        <v/>
      </c>
      <c r="K38" s="25">
        <f>IF($A38="","",IF(ISNUMBER($D38),I38*$D38,NA()))</f>
        <v/>
      </c>
      <c r="L38" s="40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25">
        <f>IF($A39="","",IF(INDEX(Takeoff_In!$D$2:$D$300,MATCH($A39,Takeoff_In!$A$2:$A$300,0))="",NA(),INDEX(Takeoff_In!$D$2:$D$300,MATCH($A39,Takeoff_In!$A$2:$A$300,0))))</f>
        <v/>
      </c>
      <c r="I39" s="25">
        <f>IF($A39="","",IF(INDEX(Takeoff_In!$E$2:$E$300,MATCH($A39,Takeoff_In!$A$2:$A$300,0))="",NA(),INDEX(Takeoff_In!$E$2:$E$300,MATCH($A39,Takeoff_In!$A$2:$A$300,0))))</f>
        <v/>
      </c>
      <c r="J39" s="25">
        <f>IF($A39="","",IF(ISNUMBER($D39),H39*$D39,NA()))</f>
        <v/>
      </c>
      <c r="K39" s="25">
        <f>IF($A39="","",IF(ISNUMBER($D39),I39*$D39,NA()))</f>
        <v/>
      </c>
      <c r="L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25">
        <f>IF($A40="","",IF(INDEX(Takeoff_In!$D$2:$D$300,MATCH($A40,Takeoff_In!$A$2:$A$300,0))="",NA(),INDEX(Takeoff_In!$D$2:$D$300,MATCH($A40,Takeoff_In!$A$2:$A$300,0))))</f>
        <v/>
      </c>
      <c r="I40" s="25">
        <f>IF($A40="","",IF(INDEX(Takeoff_In!$E$2:$E$300,MATCH($A40,Takeoff_In!$A$2:$A$300,0))="",NA(),INDEX(Takeoff_In!$E$2:$E$300,MATCH($A40,Takeoff_In!$A$2:$A$300,0))))</f>
        <v/>
      </c>
      <c r="J40" s="25">
        <f>IF($A40="","",IF(ISNUMBER($D40),H40*$D40,NA()))</f>
        <v/>
      </c>
      <c r="K40" s="25">
        <f>IF($A40="","",IF(ISNUMBER($D40),I40*$D40,NA()))</f>
        <v/>
      </c>
      <c r="L40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  <col width="46" customWidth="1" style="25" min="4" max="4"/>
  </cols>
  <sheetData>
    <row r="1" ht="15" customHeight="1" s="26">
      <c r="A1" s="51" t="inlineStr">
        <is>
          <t>Cost roll-up</t>
        </is>
      </c>
      <c r="B1" s="51" t="inlineStr">
        <is>
          <t>Base bid</t>
        </is>
      </c>
      <c r="C1" s="51" t="inlineStr">
        <is>
          <t>Alt A-1</t>
        </is>
      </c>
      <c r="D1" s="51" t="inlineStr">
        <is>
          <t>Notes</t>
        </is>
      </c>
    </row>
    <row r="2" ht="15" customHeight="1" s="26">
      <c r="A2" s="37" t="inlineStr">
        <is>
          <t>Materials (order qty x unit price)</t>
        </is>
      </c>
      <c r="B2" s="52">
        <f>SUM(Materials!O2:O200)</f>
        <v/>
      </c>
      <c r="C2" s="52">
        <f>SUM(Materials!P2:P200)</f>
        <v/>
      </c>
      <c r="D2" s="37" t="inlineStr">
        <is>
          <t>Fictional reference estimate; not a vendor quote.</t>
        </is>
      </c>
    </row>
    <row r="3" ht="15" customHeight="1" s="26">
      <c r="A3" s="37" t="inlineStr">
        <is>
          <t>Sales tax on materials</t>
        </is>
      </c>
      <c r="B3" s="52">
        <f>B2*$B$16</f>
        <v/>
      </c>
      <c r="C3" s="52">
        <f>C2*$B$16</f>
        <v/>
      </c>
      <c r="D3" s="37" t="inlineStr">
        <is>
          <t>Rate in B16.</t>
        </is>
      </c>
    </row>
    <row r="4" ht="15" customHeight="1" s="26">
      <c r="A4" s="37" t="inlineStr">
        <is>
          <t>Labor</t>
        </is>
      </c>
      <c r="B4" s="52">
        <f>SUM(Labor!L2:L60)</f>
        <v/>
      </c>
      <c r="C4" s="52">
        <f>SUM(Labor!M2:M60)</f>
        <v/>
      </c>
      <c r="D4" s="37" t="inlineStr">
        <is>
          <t>Labor sheet.</t>
        </is>
      </c>
    </row>
    <row r="5" ht="15" customHeight="1" s="26">
      <c r="A5" s="37" t="inlineStr">
        <is>
          <t>Equipment</t>
        </is>
      </c>
      <c r="B5" s="52">
        <f>SUM(Equipment!L2:L40)</f>
        <v/>
      </c>
      <c r="C5" s="52">
        <f>SUM(Equipment!M2:M40)</f>
        <v/>
      </c>
      <c r="D5" s="37" t="inlineStr">
        <is>
          <t>Equipment sheet.</t>
        </is>
      </c>
    </row>
    <row r="6" ht="15" customHeight="1" s="26">
      <c r="A6" s="37" t="inlineStr">
        <is>
          <t>Mobilization, services and other</t>
        </is>
      </c>
      <c r="B6" s="52">
        <f>SUM(Mobilization_Other!H2:H60)+SUM(Services!J2:J40)</f>
        <v/>
      </c>
      <c r="C6" s="52">
        <f>SUM(Mobilization_Other!I2:I60)+SUM(Services!K2:K40)</f>
        <v/>
      </c>
      <c r="D6" s="37" t="inlineStr">
        <is>
          <t>Mobilization_Other and Services sheets.</t>
        </is>
      </c>
    </row>
    <row r="7" ht="15" customHeight="1" s="26">
      <c r="A7" s="29" t="inlineStr">
        <is>
          <t>Direct cost</t>
        </is>
      </c>
      <c r="B7" s="53">
        <f>SUM(B2:B6)</f>
        <v/>
      </c>
      <c r="C7" s="53">
        <f>SUM(C2:C6)</f>
        <v/>
      </c>
      <c r="D7" s="37" t="n"/>
    </row>
    <row r="8" ht="15" customHeight="1" s="26">
      <c r="A8" s="37" t="inlineStr">
        <is>
          <t>Overhead</t>
        </is>
      </c>
      <c r="B8" s="52">
        <f>B7*$B$17</f>
        <v/>
      </c>
      <c r="C8" s="52">
        <f>C7*$B$17</f>
        <v/>
      </c>
      <c r="D8" s="37" t="inlineStr">
        <is>
          <t>Rate in B17.</t>
        </is>
      </c>
    </row>
    <row r="9" ht="15" customHeight="1" s="26">
      <c r="A9" s="37" t="inlineStr">
        <is>
          <t>Contingency</t>
        </is>
      </c>
      <c r="B9" s="52">
        <f>B7*$B$18</f>
        <v/>
      </c>
      <c r="C9" s="52">
        <f>C7*$B$18</f>
        <v/>
      </c>
      <c r="D9" s="37" t="inlineStr">
        <is>
          <t>Rate in B18.</t>
        </is>
      </c>
    </row>
    <row r="10" ht="15" customHeight="1" s="26">
      <c r="A10" s="29" t="inlineStr">
        <is>
          <t>Subtotal before profit</t>
        </is>
      </c>
      <c r="B10" s="53">
        <f>B7+B8+B9</f>
        <v/>
      </c>
      <c r="C10" s="53">
        <f>C7+C8+C9</f>
        <v/>
      </c>
      <c r="D10" s="37" t="n"/>
    </row>
    <row r="11" ht="15" customHeight="1" s="26">
      <c r="A11" s="37" t="inlineStr">
        <is>
          <t>Profit</t>
        </is>
      </c>
      <c r="B11" s="52">
        <f>B10*$B$19</f>
        <v/>
      </c>
      <c r="C11" s="52">
        <f>C10*$B$19</f>
        <v/>
      </c>
      <c r="D11" s="37" t="inlineStr">
        <is>
          <t>Rate in B19.</t>
        </is>
      </c>
    </row>
    <row r="12" ht="15" customHeight="1" s="26">
      <c r="A12" s="29" t="inlineStr">
        <is>
          <t>Price</t>
        </is>
      </c>
      <c r="B12" s="53">
        <f>B10+B11</f>
        <v/>
      </c>
      <c r="C12" s="53">
        <f>C10+C11</f>
        <v/>
      </c>
      <c r="D12" s="37" t="inlineStr">
        <is>
          <t>Computed by code from the sheets. No model writes any dollar figure.</t>
        </is>
      </c>
    </row>
    <row r="13" ht="15" customHeight="1" s="26">
      <c r="A13" s="37" t="inlineStr">
        <is>
          <t>Price per LF of fence (Type A + B)</t>
        </is>
      </c>
      <c r="B13" s="46">
        <f>B12/(INDEX(Takeoff_In!$D$2:$D$300,MATCH("D01",Takeoff_In!$A$2:$A$300,0))+INDEX(Takeoff_In!$D$2:$D$300,MATCH("D02",Takeoff_In!$A$2:$A$300,0)))</f>
        <v/>
      </c>
      <c r="C13" s="46">
        <f>C12/(INDEX(Takeoff_In!$E$2:$E$300,MATCH("D01",Takeoff_In!$A$2:$A$300,0))+INDEX(Takeoff_In!$E$2:$E$300,MATCH("D02",Takeoff_In!$A$2:$A$300,0)))</f>
        <v/>
      </c>
      <c r="D13" s="37" t="inlineStr">
        <is>
          <t>Uses D01 + D02.</t>
        </is>
      </c>
    </row>
    <row r="14" ht="15" customHeight="1" s="26">
      <c r="A14" s="37" t="n"/>
      <c r="B14" s="37" t="n"/>
      <c r="C14" s="37" t="n"/>
      <c r="D14" s="37" t="n"/>
    </row>
    <row r="15" ht="15" customHeight="1" s="26">
      <c r="A15" s="29" t="inlineStr">
        <is>
          <t>Rates (read from Meta sheet; edit them there)</t>
        </is>
      </c>
      <c r="B15" s="37" t="n"/>
      <c r="C15" s="37" t="n"/>
      <c r="D15" s="37" t="n"/>
    </row>
    <row r="16" ht="15" customHeight="1" s="26">
      <c r="A16" s="37" t="inlineStr">
        <is>
          <t>Sales tax on materials</t>
        </is>
      </c>
      <c r="B16" s="54">
        <f>Meta!B8</f>
        <v/>
      </c>
      <c r="C16" s="37" t="n"/>
      <c r="D16" s="37" t="n"/>
    </row>
    <row r="17" ht="15" customHeight="1" s="26">
      <c r="A17" s="37" t="inlineStr">
        <is>
          <t>Overhead</t>
        </is>
      </c>
      <c r="B17" s="54">
        <f>Meta!B9</f>
        <v/>
      </c>
      <c r="C17" s="37" t="n"/>
      <c r="D17" s="37" t="n"/>
    </row>
    <row r="18" ht="15" customHeight="1" s="26">
      <c r="A18" s="37" t="inlineStr">
        <is>
          <t>Contingency</t>
        </is>
      </c>
      <c r="B18" s="54">
        <f>Meta!B10</f>
        <v/>
      </c>
      <c r="C18" s="37" t="n"/>
      <c r="D18" s="37" t="n"/>
    </row>
    <row r="19" ht="15" customHeight="1" s="26">
      <c r="A19" s="37" t="inlineStr">
        <is>
          <t>Profit</t>
        </is>
      </c>
      <c r="B19" s="54">
        <f>Meta!B11</f>
        <v/>
      </c>
      <c r="C19" s="37" t="n"/>
      <c r="D19" s="37" t="n"/>
    </row>
    <row r="20" ht="15" customHeight="1" s="26">
      <c r="A20" s="37" t="n"/>
      <c r="B20" s="37" t="n"/>
      <c r="C20" s="37" t="n"/>
      <c r="D20" s="37" t="n"/>
    </row>
    <row r="21" ht="15" customHeight="1" s="26">
      <c r="A21" s="29" t="inlineStr">
        <is>
          <t>Checks</t>
        </is>
      </c>
      <c r="B21" s="37" t="n"/>
      <c r="C21" s="37" t="n"/>
      <c r="D21" s="37" t="n"/>
    </row>
    <row r="22" ht="15" customHeight="1" s="26">
      <c r="A22" s="37" t="inlineStr">
        <is>
          <t>Materials lines with no numeric unit price</t>
        </is>
      </c>
      <c r="B22" s="37">
        <f>SUMPRODUCT((Materials!A2:A200&lt;&gt;"")*(1-ISNUMBER(Materials!F2:F200)))</f>
        <v/>
      </c>
      <c r="C22" s="37" t="n"/>
      <c r="D22" s="37" t="n"/>
    </row>
    <row r="23" ht="15" customHeight="1" s="26">
      <c r="A23" s="37" t="inlineStr">
        <is>
          <t>Takeoff keys with no qty written</t>
        </is>
      </c>
      <c r="B23" s="37">
        <f>SUMPRODUCT((Takeoff_In!A2:A300&lt;&gt;"")*(Takeoff_In!D2:D300=""))</f>
        <v/>
      </c>
      <c r="C23" s="37" t="n"/>
      <c r="D23" s="37" t="n"/>
    </row>
    <row r="24" ht="15" customHeight="1" s="26">
      <c r="A24" s="37" t="inlineStr">
        <is>
          <t>Labor tasks with qty but no production rate</t>
        </is>
      </c>
      <c r="B24" s="37">
        <f>SUMPRODUCT((Labor!C2:C60&lt;&gt;"")*(Labor!F2:F60=""))</f>
        <v/>
      </c>
      <c r="C24" s="37" t="n"/>
      <c r="D24" s="37" t="n"/>
    </row>
    <row r="25" ht="15" customHeight="1" s="26">
      <c r="A25" s="37" t="inlineStr">
        <is>
          <t>Labor tasks with no crew</t>
        </is>
      </c>
      <c r="B25" s="37">
        <f>SUMPRODUCT((Labor!C2:C60&lt;&gt;"")*(Labor!E2:E60=""))</f>
        <v/>
      </c>
      <c r="C25" s="37" t="n"/>
      <c r="D25" s="37" t="n"/>
    </row>
    <row r="26" ht="15" customHeight="1" s="26">
      <c r="A26" s="37" t="inlineStr">
        <is>
          <t>Labor crew-hours, base / crew-days at 8 hr</t>
        </is>
      </c>
      <c r="B26" s="45">
        <f>SUM(Labor!I2:I60)</f>
        <v/>
      </c>
      <c r="C26" s="45">
        <f>B26/8</f>
        <v/>
      </c>
      <c r="D26" s="37" t="n"/>
    </row>
    <row r="27" ht="15" customHeight="1" s="26">
      <c r="A27" s="37" t="inlineStr">
        <is>
          <t>Takeoff keys with no alt qty written</t>
        </is>
      </c>
      <c r="B27" s="37">
        <f>SUMPRODUCT((Takeoff_In!A2:A300&lt;&gt;"")*(Takeoff_In!E2:E300=""))</f>
        <v/>
      </c>
      <c r="C27" s="37" t="n"/>
      <c r="D27" s="37" t="n"/>
    </row>
    <row r="28" ht="15" customHeight="1" s="26">
      <c r="A28" s="37" t="inlineStr">
        <is>
          <t>Package status (base bid)</t>
        </is>
      </c>
      <c r="B28" s="37">
        <f>IF(AND(B22=0,B23=0,B24=0,B25=0,ISNUMBER(B12)),"COMPLETE","INCOMPLETE - DO NOT QUOTE")</f>
        <v/>
      </c>
      <c r="C28" s="37" t="n"/>
      <c r="D28" s="37" t="inlineStr">
        <is>
          <t>Python engine is authoritative for released prices; this sheet is for inspection and reconciliation.</t>
        </is>
      </c>
    </row>
    <row r="29" ht="15" customHeight="1" s="26">
      <c r="A29" s="37" t="n"/>
      <c r="B29" s="37" t="n"/>
      <c r="C29" s="37" t="n"/>
      <c r="D29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IFI Gatehouse rate book layout v2</dc:creator>
  <dc:language>en-US</dc:language>
  <dcterms:created xsi:type="dcterms:W3CDTF">2026-10-12T00:00:00Z</dcterms:created>
  <dcterms:modified xsi:type="dcterms:W3CDTF">2026-10-12T00:00:00Z</dcterms:modified>
  <cp:lastModifiedBy>IFI Gatehouse rate book layout v2</cp:lastModifiedBy>
  <cp:revision>0</cp:revision>
</cp:coreProperties>
</file>